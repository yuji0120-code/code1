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補ブランド" sheetId="1" state="visible" r:id="rId1"/>
    <sheet name="除外ブランド" sheetId="2" state="visible" r:id="rId2"/>
    <sheet name="サマリー" sheetId="3" state="visible" r:id="rId3"/>
    <sheet name="調査メモ" sheetId="4" state="visible" r:id="rId4"/>
  </sheets>
  <definedNames>
    <definedName name="_xlnm._FilterDatabase" localSheetId="0" hidden="1">'候補ブランド'!$A$4:$P$41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9"/>
      <u val="single"/>
    </font>
    <font>
      <name val="Arial"/>
      <b val="1"/>
      <color rgb="00FFFFFF"/>
    </font>
    <font>
      <name val="Arial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chcrunch.com/2026/07/28/ozlos-sleepbuds-2-build-on-boses-sleep-earbud-legacy/" TargetMode="External" Id="rId1" /><Relationship Type="http://schemas.openxmlformats.org/officeDocument/2006/relationships/hyperlink" Target="https://www.shopify.com/sg/blog/77770501-how-smart-nora-raised-1-million-in-presales-using-kickstarter-and-shopify" TargetMode="External" Id="rId2" /><Relationship Type="http://schemas.openxmlformats.org/officeDocument/2006/relationships/hyperlink" Target="https://www.podfeet.com/blog/2025/01/ces-2025-10minds/" TargetMode="External" Id="rId3" /><Relationship Type="http://schemas.openxmlformats.org/officeDocument/2006/relationships/hyperlink" Target="https://siliconcanals.com/rotterdams-somnox-achieves-profitability/" TargetMode="External" Id="rId4" /><Relationship Type="http://schemas.openxmlformats.org/officeDocument/2006/relationships/hyperlink" Target="https://www.newswire.ca/news-releases/aeke-s1-pro-raises-over-us-5-86-million-on-kickstarter-marking-a-new-milestone-for-smart-home-gyms-806303096.html" TargetMode="External" Id="rId5" /><Relationship Type="http://schemas.openxmlformats.org/officeDocument/2006/relationships/hyperlink" Target="https://tech.eu/brief/mendi-funding" TargetMode="External" Id="rId6" /><Relationship Type="http://schemas.openxmlformats.org/officeDocument/2006/relationships/hyperlink" Target="https://help.hatch.co/hc/en-us/sections/41678044886423-Restore-3-FAQs" TargetMode="External" Id="rId7" /><Relationship Type="http://schemas.openxmlformats.org/officeDocument/2006/relationships/hyperlink" Target="https://indiegogo.com/projects/luna-ring-70-health-metrics-1-smart-ring/x/15135142" TargetMode="External" Id="rId8" /><Relationship Type="http://schemas.openxmlformats.org/officeDocument/2006/relationships/hyperlink" Target="https://spectrum.ieee.org/elemind-neuromodulation" TargetMode="External" Id="rId9" /><Relationship Type="http://schemas.openxmlformats.org/officeDocument/2006/relationships/hyperlink" Target="https://investlithuania.com/success-stories/pulsetto/" TargetMode="External" Id="rId10" /><Relationship Type="http://schemas.openxmlformats.org/officeDocument/2006/relationships/hyperlink" Target="https://www.businesswire.com/news/home/20220317005356/en" TargetMode="External" Id="rId11" /><Relationship Type="http://schemas.openxmlformats.org/officeDocument/2006/relationships/hyperlink" Target="https://siliconcanals.com/moonbird-raises-1-5m/" TargetMode="External" Id="rId12" /><Relationship Type="http://schemas.openxmlformats.org/officeDocument/2006/relationships/hyperlink" Target="https://airofit.com/pages/retail-distribution" TargetMode="External" Id="rId13" /><Relationship Type="http://schemas.openxmlformats.org/officeDocument/2006/relationships/hyperlink" Target="https://pulse2.com/wellness-technology-company-sensate-raises-3-2-million" TargetMode="External" Id="rId14" /><Relationship Type="http://schemas.openxmlformats.org/officeDocument/2006/relationships/hyperlink" Target="https://www.biospectrumasia.com/news/54/22202/singapore-based-excelpoint-to-accelerate-commercialisation-of-worlds-first-ai-powered-brainband-to-solve-sleep-pandemic.html" TargetMode="External" Id="rId15" /><Relationship Type="http://schemas.openxmlformats.org/officeDocument/2006/relationships/hyperlink" Target="https://support.embrlabs.com/en-US/information-for-customers-shopping-from-outside-of-the-us-271856" TargetMode="External" Id="rId16" /><Relationship Type="http://schemas.openxmlformats.org/officeDocument/2006/relationships/hyperlink" Target="https://startupintros.com/news/2025-08-01-eight-sleep-series-d" TargetMode="External" Id="rId17" /><Relationship Type="http://schemas.openxmlformats.org/officeDocument/2006/relationships/hyperlink" Target="https://bedjet.com/products/eu-plug-220v-240v-international-bedjet-3" TargetMode="External" Id="rId18" /><Relationship Type="http://schemas.openxmlformats.org/officeDocument/2006/relationships/hyperlink" Target="https://byloftie.com/ja/products/loftie" TargetMode="External" Id="rId19" /><Relationship Type="http://schemas.openxmlformats.org/officeDocument/2006/relationships/hyperlink" Target="https://www.gizmodo.jp/2025/03/new-smartwatch-core-devices.html" TargetMode="External" Id="rId20" /><Relationship Type="http://schemas.openxmlformats.org/officeDocument/2006/relationships/hyperlink" Target="https://www.beautyindependent.com/sephora-branches-wellness-tech-higherdose-launch/" TargetMode="External" Id="rId21" /><Relationship Type="http://schemas.openxmlformats.org/officeDocument/2006/relationships/hyperlink" Target="https://www.wipo.int/ko/web/ip-advantage/w/stories/mito-red-light" TargetMode="External" Id="rId22" /><Relationship Type="http://schemas.openxmlformats.org/officeDocument/2006/relationships/hyperlink" Target="https://channellife.com.au/story/bon-charge-launches-recharge-sale-with-aud-500-off" TargetMode="External" Id="rId23" /><Relationship Type="http://schemas.openxmlformats.org/officeDocument/2006/relationships/hyperlink" Target="https://athletechnews.com/want-a-stake-in-plunge-investment-opportunities-now-open" TargetMode="External" Id="rId24" /><Relationship Type="http://schemas.openxmlformats.org/officeDocument/2006/relationships/hyperlink" Target="https://www.moguravr.com/?p=272425" TargetMode="External" Id="rId25" /><Relationship Type="http://schemas.openxmlformats.org/officeDocument/2006/relationships/hyperlink" Target="https://momaxsense.com/blogs/news/momax-sense-at-hktdc-2025" TargetMode="External" Id="rId26" /><Relationship Type="http://schemas.openxmlformats.org/officeDocument/2006/relationships/hyperlink" Target="https://www.fiercehealthcare.com/health-tech/khosla-ventures-orlando-magic-owners-back-sleep-tech-company-somnees-10m-round" TargetMode="External" Id="rId27" /><Relationship Type="http://schemas.openxmlformats.org/officeDocument/2006/relationships/hyperlink" Target="https://athletechnews.com/?p=102185" TargetMode="External" Id="rId28" /><Relationship Type="http://schemas.openxmlformats.org/officeDocument/2006/relationships/hyperlink" Target="https://jisaku.com/glossary/ekrin-b37s-massage-gun" TargetMode="External" Id="rId29" /><Relationship Type="http://schemas.openxmlformats.org/officeDocument/2006/relationships/hyperlink" Target="https://apps.apple.com/jp/app/perifit-care/id1183437203" TargetMode="External" Id="rId30" /><Relationship Type="http://schemas.openxmlformats.org/officeDocument/2006/relationships/hyperlink" Target="https://www.community.whoop.com/t/whoop-website-saying-not-currently-shipping-to-japan/1090" TargetMode="External" Id="rId31" /><Relationship Type="http://schemas.openxmlformats.org/officeDocument/2006/relationships/hyperlink" Target="https://www.hearingtracker.com/news/orka-two-hearing-aid-launched-with-general-chip-technology-ai-denoise-bluetooth-and-personalized-fitting" TargetMode="External" Id="rId32" /><Relationship Type="http://schemas.openxmlformats.org/officeDocument/2006/relationships/hyperlink" Target="https://tech.eu/2022/06/16/amsterdam-s-stress-predicting-nowatch-clocks-8-7-million/" TargetMode="External" Id="rId33" /><Relationship Type="http://schemas.openxmlformats.org/officeDocument/2006/relationships/hyperlink" Target="https://markets.financialcontent.com/malvern-online/article/gnwcq-2025-8-18-hapbee-secures-strategic-backing-and-commercial-agreement-to-enter-multi-billion-dollar-asian-wellness-market" TargetMode="External" Id="rId34" /><Relationship Type="http://schemas.openxmlformats.org/officeDocument/2006/relationships/hyperlink" Target="https://getwellue.com/products/o2ring-continuous-ring-oxygen-monitorx2" TargetMode="External" Id="rId35" /><Relationship Type="http://schemas.openxmlformats.org/officeDocument/2006/relationships/hyperlink" Target="https://sleep.me/post/new-future-with-sleep-solutions-inc" TargetMode="External" Id="rId36" /><Relationship Type="http://schemas.openxmlformats.org/officeDocument/2006/relationships/hyperlink" Target="https://www.jumpstartmag.com/reimagining-smart-wearables-with-easenory-technology-limited-at-hktdc-electronics-fair-autumn-edition-2025/" TargetMode="External" Id="rId37" /></Relationships>
</file>

<file path=xl/worksheets/_rels/sheet2.xml.rels><Relationships xmlns="http://schemas.openxmlformats.org/package/2006/relationships"><Relationship Type="http://schemas.openxmlformats.org/officeDocument/2006/relationships/hyperlink" Target="https://prtimes.jp/main/html/rd/p/000000160.000080785.html" TargetMode="External" Id="rId1" /><Relationship Type="http://schemas.openxmlformats.org/officeDocument/2006/relationships/hyperlink" Target="https://cas.softbank.jp/wp-content/uploads/2024/10/241024_01.pdf" TargetMode="External" Id="rId2" /><Relationship Type="http://schemas.openxmlformats.org/officeDocument/2006/relationships/hyperlink" Target="https://www.makuake.com/project/ringconngen2/" TargetMode="External" Id="rId3" /><Relationship Type="http://schemas.openxmlformats.org/officeDocument/2006/relationships/hyperlink" Target="https://monoist.itmedia.co.jp/mn/articles/2609/16/news041.html" TargetMode="External" Id="rId4" /><Relationship Type="http://schemas.openxmlformats.org/officeDocument/2006/relationships/hyperlink" Target="https://www.mediaseek.co.jp/common/wp-content/uploads/2024/04/2024_0408_01.pdf" TargetMode="External" Id="rId5" /><Relationship Type="http://schemas.openxmlformats.org/officeDocument/2006/relationships/hyperlink" Target="https://www.nikkan.co.jp/releases/view/138994" TargetMode="External" Id="rId6" /><Relationship Type="http://schemas.openxmlformats.org/officeDocument/2006/relationships/hyperlink" Target="https://jp.speediance.com/pages/store" TargetMode="External" Id="rId7" /><Relationship Type="http://schemas.openxmlformats.org/officeDocument/2006/relationships/hyperlink" Target="https://kakaku.com/item/K0001595144/" TargetMode="External" Id="rId8" /><Relationship Type="http://schemas.openxmlformats.org/officeDocument/2006/relationships/hyperlink" Target="https://www.makuake.com/project/ems_skg/" TargetMode="External" Id="rId9" /><Relationship Type="http://schemas.openxmlformats.org/officeDocument/2006/relationships/hyperlink" Target="https://www.makuake.com/project/smartsleeplight/" TargetMode="External" Id="rId10" /><Relationship Type="http://schemas.openxmlformats.org/officeDocument/2006/relationships/hyperlink" Target="https://audiology-worldnews.com/world-news/market/big-striding-aussie-otc-producer-nuheara-goes-into-voluntary-administration" TargetMode="External" Id="rId11" /><Relationship Type="http://schemas.openxmlformats.org/officeDocument/2006/relationships/hyperlink" Target="https://kyodonewsprwire.jp/release/201703169964" TargetMode="External" Id="rId12" /><Relationship Type="http://schemas.openxmlformats.org/officeDocument/2006/relationships/hyperlink" Target="https://www.kirinholdings.com/en/newsroom/release/2021/0823_03.html" TargetMode="External" Id="rId13" /><Relationship Type="http://schemas.openxmlformats.org/officeDocument/2006/relationships/hyperlink" Target="https://www.nosleeplessnights.com/moona-review/" TargetMode="External" Id="rId14" /><Relationship Type="http://schemas.openxmlformats.org/officeDocument/2006/relationships/hyperlink" Target="https://www.usa.philips.com/c-p/TAN7808GY_00/sleep-headphones/overview" TargetMode="External" Id="rId15" /><Relationship Type="http://schemas.openxmlformats.org/officeDocument/2006/relationships/hyperlink" Target="https://frontdeskreview.com/product/smart-rings/movano-evie-ring/" TargetMode="External" Id="rId16" /><Relationship Type="http://schemas.openxmlformats.org/officeDocument/2006/relationships/hyperlink" Target="https://longevity.technology/news/wearable-firm-switches-focus-to-enterprise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6" customWidth="1" min="4" max="4"/>
    <col width="16" customWidth="1" min="5" max="5"/>
    <col width="20" customWidth="1" min="6" max="6"/>
    <col width="20" customWidth="1" min="7" max="7"/>
    <col width="38" customWidth="1" min="8" max="8"/>
    <col width="38" customWidth="1" min="9" max="9"/>
    <col width="36" customWidth="1" min="10" max="10"/>
    <col width="30" customWidth="1" min="11" max="11"/>
    <col width="40" customWidth="1" min="12" max="12"/>
    <col width="22" customWidth="1" min="13" max="13"/>
    <col width="28" customWidth="1" min="14" max="14"/>
    <col width="12" customWidth="1" min="15" max="15"/>
    <col width="24" customWidth="1" min="16" max="16"/>
  </cols>
  <sheetData>
    <row r="1">
      <c r="A1" s="1" t="inlineStr">
        <is>
          <t>ウェルネス（睡眠・健康）D2Cブランド候補リスト 2026：日本の独占代理店向け</t>
        </is>
      </c>
    </row>
    <row r="2" ht="30" customHeight="1">
      <c r="A2" s="2" t="inlineStr">
        <is>
          <t>判定：S＝まず当たる、A＝有力（規制・競合・接触方法のどれかに課題あり）、B＝条件付き、C＝要確認・非推奨。黄色の列（ステータス・メモ）は記入用です。日本での展開状況はWeb検索結果にもとづくため、商談の前にAmazon.co.jp・Makuake・GREEN FUNDINGで確認してください。</t>
        </is>
      </c>
    </row>
    <row r="4" ht="32" customHeight="1">
      <c r="A4" s="3" t="inlineStr">
        <is>
          <t>No</t>
        </is>
      </c>
      <c r="B4" s="3" t="inlineStr">
        <is>
          <t>判定</t>
        </is>
      </c>
      <c r="C4" s="3" t="inlineStr">
        <is>
          <t>ブランド</t>
        </is>
      </c>
      <c r="D4" s="3" t="inlineStr">
        <is>
          <t>本社</t>
        </is>
      </c>
      <c r="E4" s="3" t="inlineStr">
        <is>
          <t>サブカテゴリ</t>
        </is>
      </c>
      <c r="F4" s="3" t="inlineStr">
        <is>
          <t>主力商品</t>
        </is>
      </c>
      <c r="G4" s="3" t="inlineStr">
        <is>
          <t>定価目安（円）</t>
        </is>
      </c>
      <c r="H4" s="3" t="inlineStr">
        <is>
          <t>機能的な差別化ポイント</t>
        </is>
      </c>
      <c r="I4" s="3" t="inlineStr">
        <is>
          <t>実績（調査で確認できた数字）</t>
        </is>
      </c>
      <c r="J4" s="3" t="inlineStr">
        <is>
          <t>日本での展開状況（調査結果）</t>
        </is>
      </c>
      <c r="K4" s="3" t="inlineStr">
        <is>
          <t>日本の規制ハードル</t>
        </is>
      </c>
      <c r="L4" s="3" t="inlineStr">
        <is>
          <t>日本市場への適合コメント</t>
        </is>
      </c>
      <c r="M4" s="3" t="inlineStr">
        <is>
          <t>香港展示会で接触できる可能性</t>
        </is>
      </c>
      <c r="N4" s="3" t="inlineStr">
        <is>
          <t>主な出典</t>
        </is>
      </c>
      <c r="O4" s="3" t="inlineStr">
        <is>
          <t>ステータス（記入用）</t>
        </is>
      </c>
      <c r="P4" s="3" t="inlineStr">
        <is>
          <t>メモ（記入用）</t>
        </is>
      </c>
    </row>
    <row r="5">
      <c r="A5" s="4" t="n">
        <v>1</v>
      </c>
      <c r="B5" s="5" t="inlineStr">
        <is>
          <t>S</t>
        </is>
      </c>
      <c r="C5" s="6" t="inlineStr">
        <is>
          <t>Ozlo</t>
        </is>
      </c>
      <c r="D5" s="7" t="inlineStr">
        <is>
          <t>米国（ボストン）</t>
        </is>
      </c>
      <c r="E5" s="7" t="inlineStr">
        <is>
          <t>睡眠</t>
        </is>
      </c>
      <c r="F5" s="7" t="inlineStr">
        <is>
          <t>Ozlo Sleepbuds 2</t>
        </is>
      </c>
      <c r="G5" s="7" t="inlineStr">
        <is>
          <t>約42,000円（$279）</t>
        </is>
      </c>
      <c r="H5" s="7" t="inlineStr">
        <is>
          <t>元Boseチームの就寝用イヤホン。横向き寝でも使える超小型設計、14時間駆動、睡眠検知</t>
        </is>
      </c>
      <c r="I5" s="7" t="inlineStr">
        <is>
          <t>シリーズAで1,000万ドル、追加で1,200万ドルを調達。Sleepbuds 2を2026年7月に発売</t>
        </is>
      </c>
      <c r="J5" s="7" t="inlineStr">
        <is>
          <t>日本の代理店・日本法人・Makuake案件は見つからず。Gizmodo Japanがレビュー済みで、個人輸入でしか買えない状態</t>
        </is>
      </c>
      <c r="K5" s="7" t="inlineStr">
        <is>
          <t>低：技適（Bluetooth）のみ</t>
        </is>
      </c>
      <c r="L5" s="7" t="inlineStr">
        <is>
          <t>睡眠イヤホンはMakuakeで大型案件の実績あり（ADV. Sleeper TWS）。Bose Sleepbudsの後継として説明しやすい</t>
        </is>
      </c>
      <c r="M5" s="7" t="inlineStr">
        <is>
          <t>低（欧米ブランド・展示会外で直接アプローチ）</t>
        </is>
      </c>
      <c r="N5" s="8" t="inlineStr">
        <is>
          <t>https://techcrunch.com/2026/07/28/ozlos-sleepbuds-2-build-on-boses-sleep-earbud-legacy/</t>
        </is>
      </c>
      <c r="O5" s="9" t="inlineStr">
        <is>
          <t>未着手</t>
        </is>
      </c>
      <c r="P5" s="10" t="inlineStr"/>
    </row>
    <row r="6">
      <c r="A6" s="4" t="n">
        <v>2</v>
      </c>
      <c r="B6" s="5" t="inlineStr">
        <is>
          <t>S</t>
        </is>
      </c>
      <c r="C6" s="6" t="inlineStr">
        <is>
          <t>Smart Nora</t>
        </is>
      </c>
      <c r="D6" s="7" t="inlineStr">
        <is>
          <t>カナダ（トロント）</t>
        </is>
      </c>
      <c r="E6" s="7" t="inlineStr">
        <is>
          <t>睡眠（いびき）</t>
        </is>
      </c>
      <c r="F6" s="7" t="inlineStr">
        <is>
          <t>Smart Nora</t>
        </is>
      </c>
      <c r="G6" s="7" t="inlineStr">
        <is>
          <t>約45,000円（$299）</t>
        </is>
      </c>
      <c r="H6" s="7" t="inlineStr">
        <is>
          <t>体に何も着けず、普段の枕の下に入れるだけ。いびきを検知すると枕をそっと動かす</t>
        </is>
      </c>
      <c r="I6" s="7" t="inlineStr">
        <is>
          <t>Kickstarterで約80万ドル（目標10万ドル）、予約販売の累計は100万ドル超。NYT・BBC・Oprahで紹介</t>
        </is>
      </c>
      <c r="J6" s="7" t="inlineStr">
        <is>
          <t>日本の代理店・日本法人・Makuake案件は見つからず</t>
        </is>
      </c>
      <c r="K6" s="7" t="inlineStr">
        <is>
          <t>中：技適・PSE。いびきの効能表現に注意</t>
        </is>
      </c>
      <c r="L6" s="7" t="inlineStr">
        <is>
          <t>いびき対策は日本で需要が大きい。装着しないので受け入れられやすい</t>
        </is>
      </c>
      <c r="M6" s="7" t="inlineStr">
        <is>
          <t>低（欧米ブランド・展示会外で直接アプローチ）</t>
        </is>
      </c>
      <c r="N6" s="8" t="inlineStr">
        <is>
          <t>https://www.shopify.com/sg/blog/77770501-how-smart-nora-raised-1-million-in-presales-using-kickstarter-and-shopify</t>
        </is>
      </c>
      <c r="O6" s="9" t="inlineStr">
        <is>
          <t>未着手</t>
        </is>
      </c>
      <c r="P6" s="10" t="inlineStr"/>
    </row>
    <row r="7">
      <c r="A7" s="4" t="n">
        <v>3</v>
      </c>
      <c r="B7" s="5" t="inlineStr">
        <is>
          <t>S</t>
        </is>
      </c>
      <c r="C7" s="6" t="inlineStr">
        <is>
          <t>10minds（Motion Pillow）</t>
        </is>
      </c>
      <c r="D7" s="7" t="inlineStr">
        <is>
          <t>韓国（ソウル）</t>
        </is>
      </c>
      <c r="E7" s="7" t="inlineStr">
        <is>
          <t>睡眠（いびき）</t>
        </is>
      </c>
      <c r="F7" s="7" t="inlineStr">
        <is>
          <t>Motion Pillow</t>
        </is>
      </c>
      <c r="G7" s="7" t="inlineStr">
        <is>
          <t>約57,000円（$378）</t>
        </is>
      </c>
      <c r="H7" s="7" t="inlineStr">
        <is>
          <t>枕の中のエアバッグが、いびきを検知すると頭の向きを変える。AIがいびきのパターンを学習</t>
        </is>
      </c>
      <c r="I7" s="7" t="inlineStr">
        <is>
          <t>CES 2024 Best of Innovation 受賞。社内試験でいびきを90%以上減らしたと主張</t>
        </is>
      </c>
      <c r="J7" s="7" t="inlineStr">
        <is>
          <t>日本の代理店・日本法人・Makuake案件は見つからず（「モーションピロー」でも検索）</t>
        </is>
      </c>
      <c r="K7" s="7" t="inlineStr">
        <is>
          <t>中：技適・PSE（ポンプ）。いびき・無呼吸の効能表現に注意</t>
        </is>
      </c>
      <c r="L7" s="7" t="inlineStr">
        <is>
          <t>Makuakeでは枕だけで7,000万〜1億円の案件がある。韓国企業なので日本への展開も現実的</t>
        </is>
      </c>
      <c r="M7" s="7" t="inlineStr">
        <is>
          <t>中（アジア拠点・Click2Matchで要確認）</t>
        </is>
      </c>
      <c r="N7" s="8" t="inlineStr">
        <is>
          <t>https://www.podfeet.com/blog/2025/01/ces-2025-10minds/</t>
        </is>
      </c>
      <c r="O7" s="9" t="inlineStr">
        <is>
          <t>未着手</t>
        </is>
      </c>
      <c r="P7" s="10" t="inlineStr"/>
    </row>
    <row r="8">
      <c r="A8" s="4" t="n">
        <v>4</v>
      </c>
      <c r="B8" s="5" t="inlineStr">
        <is>
          <t>S</t>
        </is>
      </c>
      <c r="C8" s="6" t="inlineStr">
        <is>
          <t>Somnox</t>
        </is>
      </c>
      <c r="D8" s="7" t="inlineStr">
        <is>
          <t>オランダ（ロッテルダム）</t>
        </is>
      </c>
      <c r="E8" s="7" t="inlineStr">
        <is>
          <t>睡眠</t>
        </is>
      </c>
      <c r="F8" s="7" t="inlineStr">
        <is>
          <t>Somnox 2</t>
        </is>
      </c>
      <c r="G8" s="7" t="inlineStr">
        <is>
          <t>約90,000円（€549）</t>
        </is>
      </c>
      <c r="H8" s="7" t="inlineStr">
        <is>
          <t>抱いて眠る呼吸ロボット。ロボットの呼吸に合わせることで呼吸が落ち着く</t>
        </is>
      </c>
      <c r="I8" s="7" t="inlineStr">
        <is>
          <t>Kickstarterで約20万ユーロ（509人）。黒字化を報道されている</t>
        </is>
      </c>
      <c r="J8" s="7" t="inlineStr">
        <is>
          <t>日本の代理店・日本法人・Makuake案件は見つからず。Business Insider JP・ITmediaで紹介済み</t>
        </is>
      </c>
      <c r="K8" s="7" t="inlineStr">
        <is>
          <t>低〜中：技適・PSE（充電器）。不眠・不安の治療とは言わない</t>
        </is>
      </c>
      <c r="L8" s="7" t="inlineStr">
        <is>
          <t>LOVOTのように癒やし系ロボットへの抵抗が少ない日本と相性が良い。日本のメディアでの認知もある</t>
        </is>
      </c>
      <c r="M8" s="7" t="inlineStr">
        <is>
          <t>低（欧米ブランド・展示会外で直接アプローチ）</t>
        </is>
      </c>
      <c r="N8" s="8" t="inlineStr">
        <is>
          <t>https://siliconcanals.com/rotterdams-somnox-achieves-profitability/</t>
        </is>
      </c>
      <c r="O8" s="9" t="inlineStr">
        <is>
          <t>未着手</t>
        </is>
      </c>
      <c r="P8" s="10" t="inlineStr"/>
    </row>
    <row r="9">
      <c r="A9" s="4" t="n">
        <v>5</v>
      </c>
      <c r="B9" s="5" t="inlineStr">
        <is>
          <t>S</t>
        </is>
      </c>
      <c r="C9" s="6" t="inlineStr">
        <is>
          <t>AEKE</t>
        </is>
      </c>
      <c r="D9" s="7" t="inlineStr">
        <is>
          <t>中国（深圳）</t>
        </is>
      </c>
      <c r="E9" s="7" t="inlineStr">
        <is>
          <t>フィットネス</t>
        </is>
      </c>
      <c r="F9" s="7" t="inlineStr">
        <is>
          <t>AEKE K1 / S1 Pro</t>
        </is>
      </c>
      <c r="G9" s="7" t="inlineStr">
        <is>
          <t>約495,000円（K1 $3,299）</t>
        </is>
      </c>
      <c r="H9" s="7" t="inlineStr">
        <is>
          <t>43型4K画面、AIフォーム補正、サブスク不要。設置面積0.3㎡</t>
        </is>
      </c>
      <c r="I9" s="7" t="inlineStr">
        <is>
          <t>S1 ProがKickstarterで586.6万ドル（1,885人、2026年の家庭用ジムで1位）。K1も約210万ドル</t>
        </is>
      </c>
      <c r="J9" s="7" t="inlineStr">
        <is>
          <t>日本の代理店・日本法人・Makuake案件は見つからず（Speedianceは日本に代理店あり）</t>
        </is>
      </c>
      <c r="K9" s="7" t="inlineStr">
        <is>
          <t>中：PSE・技適。大型なので配送・設置</t>
        </is>
      </c>
      <c r="L9" s="7" t="inlineStr">
        <is>
          <t>高単価だが、Speedianceが日本で売れていることでジャンルの需要は実証済み。サブスク不要が差別化になる</t>
        </is>
      </c>
      <c r="M9" s="7" t="inlineStr">
        <is>
          <t>高（中華圏・2025年出展実績など）</t>
        </is>
      </c>
      <c r="N9" s="8" t="inlineStr">
        <is>
          <t>https://www.newswire.ca/news-releases/aeke-s1-pro-raises-over-us-5-86-million-on-kickstarter-marking-a-new-milestone-for-smart-home-gyms-806303096.html</t>
        </is>
      </c>
      <c r="O9" s="9" t="inlineStr">
        <is>
          <t>未着手</t>
        </is>
      </c>
      <c r="P9" s="10" t="inlineStr"/>
    </row>
    <row r="10">
      <c r="A10" s="4" t="n">
        <v>6</v>
      </c>
      <c r="B10" s="5" t="inlineStr">
        <is>
          <t>S</t>
        </is>
      </c>
      <c r="C10" s="6" t="inlineStr">
        <is>
          <t>Mendi</t>
        </is>
      </c>
      <c r="D10" s="7" t="inlineStr">
        <is>
          <t>スウェーデン（ストックホルム）</t>
        </is>
      </c>
      <c r="E10" s="7" t="inlineStr">
        <is>
          <t>集中・脳トレ</t>
        </is>
      </c>
      <c r="F10" s="7" t="inlineStr">
        <is>
          <t>Mendi ヘッドバンド</t>
        </is>
      </c>
      <c r="G10" s="7" t="inlineStr">
        <is>
          <t>約45,000円（$299）</t>
        </is>
      </c>
      <c r="H10" s="7" t="inlineStr">
        <is>
          <t>一般向けfNIRS（脳の血流）を使ったニューロフィードバックで、前頭部を鍛える</t>
        </is>
      </c>
      <c r="I10" s="7" t="inlineStr">
        <is>
          <t>クラファンで1万台超・約300万ユーロ。累計925万ドルを調達</t>
        </is>
      </c>
      <c r="J10" s="7" t="inlineStr">
        <is>
          <t>日本の代理店・日本法人・Makuake案件は見つからず</t>
        </is>
      </c>
      <c r="K10" s="7" t="inlineStr">
        <is>
          <t>低〜中：技適。「治療」とは言わない</t>
        </is>
      </c>
      <c r="L10" s="7" t="inlineStr">
        <is>
          <t>受験・ビジネスの集中ニーズに合い、クラファンで説明しやすい</t>
        </is>
      </c>
      <c r="M10" s="7" t="inlineStr">
        <is>
          <t>低（欧米ブランド・展示会外で直接アプローチ）</t>
        </is>
      </c>
      <c r="N10" s="8" t="inlineStr">
        <is>
          <t>https://tech.eu/brief/mendi-funding</t>
        </is>
      </c>
      <c r="O10" s="9" t="inlineStr">
        <is>
          <t>未着手</t>
        </is>
      </c>
      <c r="P10" s="10" t="inlineStr"/>
    </row>
    <row r="11">
      <c r="A11" s="4" t="n">
        <v>7</v>
      </c>
      <c r="B11" s="5" t="inlineStr">
        <is>
          <t>S</t>
        </is>
      </c>
      <c r="C11" s="6" t="inlineStr">
        <is>
          <t>Hatch</t>
        </is>
      </c>
      <c r="D11" s="7" t="inlineStr">
        <is>
          <t>米国</t>
        </is>
      </c>
      <c r="E11" s="7" t="inlineStr">
        <is>
          <t>睡眠</t>
        </is>
      </c>
      <c r="F11" s="7" t="inlineStr">
        <is>
          <t>Hatch Restore 3</t>
        </is>
      </c>
      <c r="G11" s="7" t="inlineStr">
        <is>
          <t>約25,500円（$170）</t>
        </is>
      </c>
      <c r="H11" s="7" t="inlineStr">
        <is>
          <t>光で起こす目覚まし、サウンド、入眠前の習慣づくりを1台で</t>
        </is>
      </c>
      <c r="I11" s="7" t="inlineStr">
        <is>
          <t>累計2,710万ドルの調達とされる（資料によって数字が違う）</t>
        </is>
      </c>
      <c r="J11" s="7" t="inlineStr">
        <is>
          <t>日本の代理店・日本法人・Makuake案件は見つからず。Restore 3は米国だけで販売</t>
        </is>
      </c>
      <c r="K11" s="7" t="inlineStr">
        <is>
          <t>低：技適・PSE（ACアダプタ）</t>
        </is>
      </c>
      <c r="L11" s="7" t="inlineStr">
        <is>
          <t>光目覚ましの定番。日本語の音声コンテンツを作れば訴求しやすい</t>
        </is>
      </c>
      <c r="M11" s="7" t="inlineStr">
        <is>
          <t>低（欧米ブランド・展示会外で直接アプローチ）</t>
        </is>
      </c>
      <c r="N11" s="8" t="inlineStr">
        <is>
          <t>https://help.hatch.co/hc/en-us/sections/41678044886423-Restore-3-FAQs</t>
        </is>
      </c>
      <c r="O11" s="9" t="inlineStr">
        <is>
          <t>未着手</t>
        </is>
      </c>
      <c r="P11" s="10" t="inlineStr"/>
    </row>
    <row r="12">
      <c r="A12" s="4" t="n">
        <v>8</v>
      </c>
      <c r="B12" s="11" t="inlineStr">
        <is>
          <t>A</t>
        </is>
      </c>
      <c r="C12" s="6" t="inlineStr">
        <is>
          <t>Luna Ring（Noise）</t>
        </is>
      </c>
      <c r="D12" s="7" t="inlineStr">
        <is>
          <t>インド</t>
        </is>
      </c>
      <c r="E12" s="7" t="inlineStr">
        <is>
          <t>健康計測（スマートリング）</t>
        </is>
      </c>
      <c r="F12" s="7" t="inlineStr">
        <is>
          <t>Luna Ring</t>
        </is>
      </c>
      <c r="G12" s="7" t="inlineStr">
        <is>
          <t>約45,000円（$299）</t>
        </is>
      </c>
      <c r="H12" s="7" t="inlineStr">
        <is>
          <t>赤外線PPGと皮膚温で70の健康指標</t>
        </is>
      </c>
      <c r="I12" s="7" t="inlineStr">
        <is>
          <t>Indiegogoで約19.6万ドル（860人）。親会社Noiseはインドの大手ウェアラブルブランド</t>
        </is>
      </c>
      <c r="J12" s="7" t="inlineStr">
        <is>
          <t>日本の代理店・日本法人・Makuake案件は見つからず</t>
        </is>
      </c>
      <c r="K12" s="7" t="inlineStr">
        <is>
          <t>中：技適。医療的な表現は使わない</t>
        </is>
      </c>
      <c r="L12" s="7" t="inlineStr">
        <is>
          <t>スマートリングはMakuakeで最大級（RingConnが1.43億円）。日本で未展開の数少ない有力リング</t>
        </is>
      </c>
      <c r="M12" s="7" t="inlineStr">
        <is>
          <t>低（欧米ブランド・展示会外で直接アプローチ）</t>
        </is>
      </c>
      <c r="N12" s="8" t="inlineStr">
        <is>
          <t>https://indiegogo.com/projects/luna-ring-70-health-metrics-1-smart-ring/x/15135142</t>
        </is>
      </c>
      <c r="O12" s="9" t="inlineStr">
        <is>
          <t>未着手</t>
        </is>
      </c>
      <c r="P12" s="10" t="inlineStr"/>
    </row>
    <row r="13">
      <c r="A13" s="4" t="n">
        <v>9</v>
      </c>
      <c r="B13" s="11" t="inlineStr">
        <is>
          <t>A</t>
        </is>
      </c>
      <c r="C13" s="6" t="inlineStr">
        <is>
          <t>Elemind</t>
        </is>
      </c>
      <c r="D13" s="7" t="inlineStr">
        <is>
          <t>米国（ケンブリッジ）</t>
        </is>
      </c>
      <c r="E13" s="7" t="inlineStr">
        <is>
          <t>睡眠（ニューロテック）</t>
        </is>
      </c>
      <c r="F13" s="7" t="inlineStr">
        <is>
          <t>Elemind ヘッドバンド</t>
        </is>
      </c>
      <c r="G13" s="7" t="inlineStr">
        <is>
          <t>約52,000円（$349）</t>
        </is>
      </c>
      <c r="H13" s="7" t="inlineStr">
        <is>
          <t>脳波（EEG）を読み、それに合わせた音で入眠を誘導する。試験で寝つきが平均48%早くなった</t>
        </is>
      </c>
      <c r="I13" s="7" t="inlineStr">
        <is>
          <t>シード1,200万ドル</t>
        </is>
      </c>
      <c r="J13" s="7" t="inlineStr">
        <is>
          <t>日本の代理店・日本法人・Makuake案件は見つからず</t>
        </is>
      </c>
      <c r="K13" s="7" t="inlineStr">
        <is>
          <t>高：入眠・不眠の効能は薬機法の対象になりうる。技適</t>
        </is>
      </c>
      <c r="L13" s="7" t="inlineStr">
        <is>
          <t>需要は大きいが、日本では「リラックス」などの表現に抑える必要がある</t>
        </is>
      </c>
      <c r="M13" s="7" t="inlineStr">
        <is>
          <t>低（欧米ブランド・展示会外で直接アプローチ）</t>
        </is>
      </c>
      <c r="N13" s="8" t="inlineStr">
        <is>
          <t>https://spectrum.ieee.org/elemind-neuromodulation</t>
        </is>
      </c>
      <c r="O13" s="9" t="inlineStr">
        <is>
          <t>未着手</t>
        </is>
      </c>
      <c r="P13" s="10" t="inlineStr"/>
    </row>
    <row r="14">
      <c r="A14" s="4" t="n">
        <v>10</v>
      </c>
      <c r="B14" s="11" t="inlineStr">
        <is>
          <t>A</t>
        </is>
      </c>
      <c r="C14" s="6" t="inlineStr">
        <is>
          <t>Pulsetto</t>
        </is>
      </c>
      <c r="D14" s="7" t="inlineStr">
        <is>
          <t>リトアニア（ヴィリニュス）</t>
        </is>
      </c>
      <c r="E14" s="7" t="inlineStr">
        <is>
          <t>ストレス（迷走神経）</t>
        </is>
      </c>
      <c r="F14" s="7" t="inlineStr">
        <is>
          <t>Pulsetto Lite / Fit</t>
        </is>
      </c>
      <c r="G14" s="7" t="inlineStr">
        <is>
          <t>約44,000円（€269〜）</t>
        </is>
      </c>
      <c r="H14" s="7" t="inlineStr">
        <is>
          <t>首に巻き、約4分の電気刺激で迷走神経を刺激する</t>
        </is>
      </c>
      <c r="I14" s="7" t="inlineStr">
        <is>
          <t>Indiegogoで約16.9万ユーロ。売上は2024年約900万ドル→2025年4,000万ドル超、ユーザー30万人超</t>
        </is>
      </c>
      <c r="J14" s="7" t="inlineStr">
        <is>
          <t>日本の代理店・日本法人・Makuake案件は見つからず</t>
        </is>
      </c>
      <c r="K14" s="7" t="inlineStr">
        <is>
          <t>高：低周波治療器（管理医療機器）に当たる可能性が高い。技適</t>
        </is>
      </c>
      <c r="L14" s="7" t="inlineStr">
        <is>
          <t>勢いは今回いちばんだが、日本では医療機器の認証を取らない限り売れない</t>
        </is>
      </c>
      <c r="M14" s="7" t="inlineStr">
        <is>
          <t>低（欧米ブランド・展示会外で直接アプローチ）</t>
        </is>
      </c>
      <c r="N14" s="8" t="inlineStr">
        <is>
          <t>https://investlithuania.com/success-stories/pulsetto/</t>
        </is>
      </c>
      <c r="O14" s="9" t="inlineStr">
        <is>
          <t>未着手</t>
        </is>
      </c>
      <c r="P14" s="10" t="inlineStr"/>
    </row>
    <row r="15">
      <c r="A15" s="4" t="n">
        <v>11</v>
      </c>
      <c r="B15" s="11" t="inlineStr">
        <is>
          <t>A</t>
        </is>
      </c>
      <c r="C15" s="6" t="inlineStr">
        <is>
          <t>Apollo Neuro</t>
        </is>
      </c>
      <c r="D15" s="7" t="inlineStr">
        <is>
          <t>米国（ピッツバーグ）</t>
        </is>
      </c>
      <c r="E15" s="7" t="inlineStr">
        <is>
          <t>ストレス</t>
        </is>
      </c>
      <c r="F15" s="7" t="inlineStr">
        <is>
          <t>Apollo ウェアラブル</t>
        </is>
      </c>
      <c r="G15" s="7" t="inlineStr">
        <is>
          <t>約52,000円（$349）</t>
        </is>
      </c>
      <c r="H15" s="7" t="inlineStr">
        <is>
          <t>手首や足首への穏やかな振動で、体をリラックス状態に導く</t>
        </is>
      </c>
      <c r="I15" s="7" t="inlineStr">
        <is>
          <t>シリーズAで1,500万ドル、累計3,000万ドル超。10万台超を販売</t>
        </is>
      </c>
      <c r="J15" s="7" t="inlineStr">
        <is>
          <t>日本の代理店・日本法人・Makuake案件は見つからず</t>
        </is>
      </c>
      <c r="K15" s="7" t="inlineStr">
        <is>
          <t>中：技適。ストレス・睡眠の効能表現に注意（エビデンスに異論もある）</t>
        </is>
      </c>
      <c r="L15" s="7" t="inlineStr">
        <is>
          <t>ストレス・睡眠の需要は日本でも大きいが、訴求のしかたが難しい</t>
        </is>
      </c>
      <c r="M15" s="7" t="inlineStr">
        <is>
          <t>低（欧米ブランド・展示会外で直接アプローチ）</t>
        </is>
      </c>
      <c r="N15" s="8" t="inlineStr">
        <is>
          <t>https://www.businesswire.com/news/home/20220317005356/en</t>
        </is>
      </c>
      <c r="O15" s="9" t="inlineStr">
        <is>
          <t>未着手</t>
        </is>
      </c>
      <c r="P15" s="10" t="inlineStr"/>
    </row>
    <row r="16">
      <c r="A16" s="4" t="n">
        <v>12</v>
      </c>
      <c r="B16" s="11" t="inlineStr">
        <is>
          <t>A</t>
        </is>
      </c>
      <c r="C16" s="6" t="inlineStr">
        <is>
          <t>Moonbird</t>
        </is>
      </c>
      <c r="D16" s="7" t="inlineStr">
        <is>
          <t>ベルギー（ブリュッセル）</t>
        </is>
      </c>
      <c r="E16" s="7" t="inlineStr">
        <is>
          <t>呼吸・ストレス</t>
        </is>
      </c>
      <c r="F16" s="7" t="inlineStr">
        <is>
          <t>Moonbird</t>
        </is>
      </c>
      <c r="G16" s="7" t="inlineStr">
        <is>
          <t>未確認</t>
        </is>
      </c>
      <c r="H16" s="7" t="inlineStr">
        <is>
          <t>手のひらで膨らんだり縮んだりして呼吸のペースを導く。心拍のバイオフィードバック付き</t>
        </is>
      </c>
      <c r="I16" s="7" t="inlineStr">
        <is>
          <t>150万ユーロを調達。顧客3.5万人超</t>
        </is>
      </c>
      <c r="J16" s="7" t="inlineStr">
        <is>
          <t>日本の代理店・日本法人・Makuake案件は見つからず（innovatopiaで紹介）</t>
        </is>
      </c>
      <c r="K16" s="7" t="inlineStr">
        <is>
          <t>低：技適。リラックスの範囲の表現にとどめる</t>
        </is>
      </c>
      <c r="L16" s="7" t="inlineStr">
        <is>
          <t>触るだけで使えるので高齢者にも向く。贈り物需要もある</t>
        </is>
      </c>
      <c r="M16" s="7" t="inlineStr">
        <is>
          <t>低（欧米ブランド・展示会外で直接アプローチ）</t>
        </is>
      </c>
      <c r="N16" s="8" t="inlineStr">
        <is>
          <t>https://siliconcanals.com/moonbird-raises-1-5m/</t>
        </is>
      </c>
      <c r="O16" s="9" t="inlineStr">
        <is>
          <t>未着手</t>
        </is>
      </c>
      <c r="P16" s="10" t="inlineStr"/>
    </row>
    <row r="17">
      <c r="A17" s="4" t="n">
        <v>13</v>
      </c>
      <c r="B17" s="11" t="inlineStr">
        <is>
          <t>A</t>
        </is>
      </c>
      <c r="C17" s="6" t="inlineStr">
        <is>
          <t>Airofit</t>
        </is>
      </c>
      <c r="D17" s="7" t="inlineStr">
        <is>
          <t>デンマーク</t>
        </is>
      </c>
      <c r="E17" s="7" t="inlineStr">
        <is>
          <t>呼吸トレーニング</t>
        </is>
      </c>
      <c r="F17" s="7" t="inlineStr">
        <is>
          <t>Airofit PRO 2.0</t>
        </is>
      </c>
      <c r="G17" s="7" t="inlineStr">
        <is>
          <t>約58,000円（€349）</t>
        </is>
      </c>
      <c r="H17" s="7" t="inlineStr">
        <is>
          <t>呼吸の筋肉に負荷をかけて鍛えるトレーナー。アプリで肺機能を測る</t>
        </is>
      </c>
      <c r="I17" s="7" t="inlineStr">
        <is>
          <t>累計700万ユーロを調達。2024年の売上300万ユーロ、有料顧客17万人</t>
        </is>
      </c>
      <c r="J17" s="7" t="inlineStr">
        <is>
          <t>日本の代理店・日本法人・Makuake案件は見つからず。代理店の募集ページがある</t>
        </is>
      </c>
      <c r="K17" s="7" t="inlineStr">
        <is>
          <t>低：技適。スポーツ用途に限る（医療版のAiroQurは対象外）</t>
        </is>
      </c>
      <c r="L17" s="7" t="inlineStr">
        <is>
          <t>ランナー・水泳・登山・歌の人に。代理店を募集している</t>
        </is>
      </c>
      <c r="M17" s="7" t="inlineStr">
        <is>
          <t>低（欧米ブランド・展示会外で直接アプローチ）</t>
        </is>
      </c>
      <c r="N17" s="8" t="inlineStr">
        <is>
          <t>https://airofit.com/pages/retail-distribution</t>
        </is>
      </c>
      <c r="O17" s="9" t="inlineStr">
        <is>
          <t>未着手</t>
        </is>
      </c>
      <c r="P17" s="10" t="inlineStr"/>
    </row>
    <row r="18">
      <c r="A18" s="4" t="n">
        <v>14</v>
      </c>
      <c r="B18" s="11" t="inlineStr">
        <is>
          <t>A</t>
        </is>
      </c>
      <c r="C18" s="6" t="inlineStr">
        <is>
          <t>Sensate</t>
        </is>
      </c>
      <c r="D18" s="7" t="inlineStr">
        <is>
          <t>英国</t>
        </is>
      </c>
      <c r="E18" s="7" t="inlineStr">
        <is>
          <t>ストレス（迷走神経）</t>
        </is>
      </c>
      <c r="F18" s="7" t="inlineStr">
        <is>
          <t>Sensate 2</t>
        </is>
      </c>
      <c r="G18" s="7" t="inlineStr">
        <is>
          <t>約37,000円（$249）</t>
        </is>
      </c>
      <c r="H18" s="7" t="inlineStr">
        <is>
          <t>胸に置き、アプリの音に合わせた低周波の振動を伝える</t>
        </is>
      </c>
      <c r="I18" s="7" t="inlineStr">
        <is>
          <t>シード320万ドル、累計約1,146万ドル</t>
        </is>
      </c>
      <c r="J18" s="7" t="inlineStr">
        <is>
          <t>日本の代理店・日本法人・Makuake案件は見つからず</t>
        </is>
      </c>
      <c r="K18" s="7" t="inlineStr">
        <is>
          <t>中：技適。迷走神経・不安への効能は言わない</t>
        </is>
      </c>
      <c r="L18" s="7" t="inlineStr">
        <is>
          <t>瞑想・マインドフルネス層向け</t>
        </is>
      </c>
      <c r="M18" s="7" t="inlineStr">
        <is>
          <t>低（欧米ブランド・展示会外で直接アプローチ）</t>
        </is>
      </c>
      <c r="N18" s="8" t="inlineStr">
        <is>
          <t>https://pulse2.com/wellness-technology-company-sensate-raises-3-2-million</t>
        </is>
      </c>
      <c r="O18" s="9" t="inlineStr">
        <is>
          <t>未着手</t>
        </is>
      </c>
      <c r="P18" s="10" t="inlineStr"/>
    </row>
    <row r="19">
      <c r="A19" s="4" t="n">
        <v>15</v>
      </c>
      <c r="B19" s="11" t="inlineStr">
        <is>
          <t>A</t>
        </is>
      </c>
      <c r="C19" s="6" t="inlineStr">
        <is>
          <t>FRENZ Brainband（Earable）</t>
        </is>
      </c>
      <c r="D19" s="7" t="inlineStr">
        <is>
          <t>米国（ボルダー）／ベトナム</t>
        </is>
      </c>
      <c r="E19" s="7" t="inlineStr">
        <is>
          <t>睡眠・集中</t>
        </is>
      </c>
      <c r="F19" s="7" t="inlineStr">
        <is>
          <t>FRENZ Brainband</t>
        </is>
      </c>
      <c r="G19" s="7" t="inlineStr">
        <is>
          <t>約90,000円（$599）</t>
        </is>
      </c>
      <c r="H19" s="7" t="inlineStr">
        <is>
          <t>脳信号を読むAIヘッドバンド。状態に合わせた音で睡眠・集中を助ける</t>
        </is>
      </c>
      <c r="I19" s="7" t="inlineStr">
        <is>
          <t>シード660万ドル（Founders Fund、Smilegate）。Samsung Venturesも出資。Red Dot賞</t>
        </is>
      </c>
      <c r="J19" s="7" t="inlineStr">
        <is>
          <t>日本の代理店・日本法人・Makuake案件は見つからず。シンガポールのExcelpointがアジアの販売パートナー（担当範囲は要確認）</t>
        </is>
      </c>
      <c r="K19" s="7" t="inlineStr">
        <is>
          <t>中〜高：技適。睡眠障害への効能は言わない</t>
        </is>
      </c>
      <c r="L19" s="7" t="inlineStr">
        <is>
          <t>アジアにパートナーがいるので、日本の権利が空いているか先に確認する</t>
        </is>
      </c>
      <c r="M19" s="7" t="inlineStr">
        <is>
          <t>中（アジア拠点・Click2Matchで要確認）</t>
        </is>
      </c>
      <c r="N19" s="8" t="inlineStr">
        <is>
          <t>https://www.biospectrumasia.com/news/54/22202/singapore-based-excelpoint-to-accelerate-commercialisation-of-worlds-first-ai-powered-brainband-to-solve-sleep-pandemic.html</t>
        </is>
      </c>
      <c r="O19" s="9" t="inlineStr">
        <is>
          <t>未着手</t>
        </is>
      </c>
      <c r="P19" s="10" t="inlineStr"/>
    </row>
    <row r="20">
      <c r="A20" s="4" t="n">
        <v>16</v>
      </c>
      <c r="B20" s="11" t="inlineStr">
        <is>
          <t>A</t>
        </is>
      </c>
      <c r="C20" s="6" t="inlineStr">
        <is>
          <t>Embr Labs</t>
        </is>
      </c>
      <c r="D20" s="7" t="inlineStr">
        <is>
          <t>米国（ボストン）</t>
        </is>
      </c>
      <c r="E20" s="7" t="inlineStr">
        <is>
          <t>体温調整</t>
        </is>
      </c>
      <c r="F20" s="7" t="inlineStr">
        <is>
          <t>Embr Wave 2</t>
        </is>
      </c>
      <c r="G20" s="7" t="inlineStr">
        <is>
          <t>約45,000円（$299）</t>
        </is>
      </c>
      <c r="H20" s="7" t="inlineStr">
        <is>
          <t>手首を温めたり冷やしたりして体感温度を変える。ほてり・睡眠向け</t>
        </is>
      </c>
      <c r="I20" s="7" t="inlineStr">
        <is>
          <t>Kickstarterで約60万ドル。株式で760万ドル（Bose Ventures、Intel Capital）、借入で3,500万ドル</t>
        </is>
      </c>
      <c r="J20" s="7" t="inlineStr">
        <is>
          <t>日本は配送対象外（公式サポートが転送サービスを案内）</t>
        </is>
      </c>
      <c r="K20" s="7" t="inlineStr">
        <is>
          <t>低〜中：技適・PSE（充電器）。更年期の治療効果は言わない</t>
        </is>
      </c>
      <c r="L20" s="7" t="inlineStr">
        <is>
          <t>更年期のほてり・冷え性のニーズが日本でも大きい。日本向けの販路が空白</t>
        </is>
      </c>
      <c r="M20" s="7" t="inlineStr">
        <is>
          <t>低（欧米ブランド・展示会外で直接アプローチ）</t>
        </is>
      </c>
      <c r="N20" s="8" t="inlineStr">
        <is>
          <t>https://support.embrlabs.com/en-US/information-for-customers-shopping-from-outside-of-the-us-271856</t>
        </is>
      </c>
      <c r="O20" s="9" t="inlineStr">
        <is>
          <t>未着手</t>
        </is>
      </c>
      <c r="P20" s="10" t="inlineStr"/>
    </row>
    <row r="21">
      <c r="A21" s="4" t="n">
        <v>17</v>
      </c>
      <c r="B21" s="11" t="inlineStr">
        <is>
          <t>A</t>
        </is>
      </c>
      <c r="C21" s="6" t="inlineStr">
        <is>
          <t>Eight Sleep</t>
        </is>
      </c>
      <c r="D21" s="7" t="inlineStr">
        <is>
          <t>米国（ニューヨーク）</t>
        </is>
      </c>
      <c r="E21" s="7" t="inlineStr">
        <is>
          <t>睡眠（寝床の温度）</t>
        </is>
      </c>
      <c r="F21" s="7" t="inlineStr">
        <is>
          <t>Pod 5</t>
        </is>
      </c>
      <c r="G21" s="7" t="inlineStr">
        <is>
          <t>約427,000円（$2,849〜）＋年$199</t>
        </is>
      </c>
      <c r="H21" s="7" t="inlineStr">
        <is>
          <t>水を使うマットレスカバーで温度をAI制御し、健康状態とイビキも見る</t>
        </is>
      </c>
      <c r="I21" s="7" t="inlineStr">
        <is>
          <t>シリーズDで1億ドル（評価額約10億ドル）</t>
        </is>
      </c>
      <c r="J21" s="7" t="inlineStr">
        <is>
          <t>日本の代理店・日本法人・Makuake案件は見つからず。30カ国以上に出荷しているが日本は対象外</t>
        </is>
      </c>
      <c r="K21" s="7" t="inlineStr">
        <is>
          <t>高：PSE（100V・加熱）、技適、健康計測の表現。日本のベッドサイズ</t>
        </is>
      </c>
      <c r="L21" s="7" t="inlineStr">
        <is>
          <t>超高単価だが富裕層・アスリート向けに唯一の存在。日本展開に会社がどれだけ乗り気か次第</t>
        </is>
      </c>
      <c r="M21" s="7" t="inlineStr">
        <is>
          <t>低（欧米ブランド・展示会外で直接アプローチ）</t>
        </is>
      </c>
      <c r="N21" s="8" t="inlineStr">
        <is>
          <t>https://startupintros.com/news/2025-08-01-eight-sleep-series-d</t>
        </is>
      </c>
      <c r="O21" s="9" t="inlineStr">
        <is>
          <t>未着手</t>
        </is>
      </c>
      <c r="P21" s="10" t="inlineStr"/>
    </row>
    <row r="22">
      <c r="A22" s="4" t="n">
        <v>18</v>
      </c>
      <c r="B22" s="11" t="inlineStr">
        <is>
          <t>A</t>
        </is>
      </c>
      <c r="C22" s="6" t="inlineStr">
        <is>
          <t>BedJet</t>
        </is>
      </c>
      <c r="D22" s="7" t="inlineStr">
        <is>
          <t>米国（ロードアイランド）</t>
        </is>
      </c>
      <c r="E22" s="7" t="inlineStr">
        <is>
          <t>睡眠（寝床の温度）</t>
        </is>
      </c>
      <c r="F22" s="7" t="inlineStr">
        <is>
          <t>BedJet 3</t>
        </is>
      </c>
      <c r="G22" s="7" t="inlineStr">
        <is>
          <t>約75,000円（$499）</t>
        </is>
      </c>
      <c r="H22" s="7" t="inlineStr">
        <is>
          <t>シーツの下に温風・冷風を送る。2人で左右別々の温度にでき、夜通し温度をプログラムできる</t>
        </is>
      </c>
      <c r="I22" s="7" t="inlineStr">
        <is>
          <t>Kickstarter2回で約140万ドル。40カ国超で販売</t>
        </is>
      </c>
      <c r="J22" s="7" t="inlineStr">
        <is>
          <t>日本の代理店・日本法人・Makuake案件は見つからず。日本向けの100V版がない</t>
        </is>
      </c>
      <c r="K22" s="7" t="inlineStr">
        <is>
          <t>中〜高：PSE（ヒーター）、100V版の開発、技適</t>
        </is>
      </c>
      <c r="L22" s="7" t="inlineStr">
        <is>
          <t>夏の寝苦しさ・冬の冷えに効く。100V版を作れるかが条件</t>
        </is>
      </c>
      <c r="M22" s="7" t="inlineStr">
        <is>
          <t>低（欧米ブランド・展示会外で直接アプローチ）</t>
        </is>
      </c>
      <c r="N22" s="8" t="inlineStr">
        <is>
          <t>https://bedjet.com/products/eu-plug-220v-240v-international-bedjet-3</t>
        </is>
      </c>
      <c r="O22" s="9" t="inlineStr">
        <is>
          <t>未着手</t>
        </is>
      </c>
      <c r="P22" s="10" t="inlineStr"/>
    </row>
    <row r="23">
      <c r="A23" s="4" t="n">
        <v>19</v>
      </c>
      <c r="B23" s="11" t="inlineStr">
        <is>
          <t>A</t>
        </is>
      </c>
      <c r="C23" s="6" t="inlineStr">
        <is>
          <t>Loftie</t>
        </is>
      </c>
      <c r="D23" s="7" t="inlineStr">
        <is>
          <t>米国（ニューヨーク）</t>
        </is>
      </c>
      <c r="E23" s="7" t="inlineStr">
        <is>
          <t>睡眠</t>
        </is>
      </c>
      <c r="F23" s="7" t="inlineStr">
        <is>
          <t>Loftie Clock / Loftie Lamp</t>
        </is>
      </c>
      <c r="G23" s="7" t="inlineStr">
        <is>
          <t>約25,500円〜（$169.99〜）</t>
        </is>
      </c>
      <c r="H23" s="7" t="inlineStr">
        <is>
          <t>スマホを寝室から追い出すための目覚まし。2段階アラームと100種類以上のサウンド</t>
        </is>
      </c>
      <c r="I23" s="7" t="inlineStr">
        <is>
          <t>累計約430万ドルを調達</t>
        </is>
      </c>
      <c r="J23" s="7" t="inlineStr">
        <is>
          <t>公式サイトに日本語ストアがあり、直販している（代理店は見つからず）</t>
        </is>
      </c>
      <c r="K23" s="7" t="inlineStr">
        <is>
          <t>低：技適・PSE</t>
        </is>
      </c>
      <c r="L23" s="7" t="inlineStr">
        <is>
          <t>デジタルデトックスの訴求は日本でも強い。会社が直販を続けたいかを確認する</t>
        </is>
      </c>
      <c r="M23" s="7" t="inlineStr">
        <is>
          <t>低（欧米ブランド・展示会外で直接アプローチ）</t>
        </is>
      </c>
      <c r="N23" s="8" t="inlineStr">
        <is>
          <t>https://byloftie.com/ja/products/loftie</t>
        </is>
      </c>
      <c r="O23" s="9" t="inlineStr">
        <is>
          <t>未着手</t>
        </is>
      </c>
      <c r="P23" s="10" t="inlineStr"/>
    </row>
    <row r="24">
      <c r="A24" s="4" t="n">
        <v>20</v>
      </c>
      <c r="B24" s="11" t="inlineStr">
        <is>
          <t>A</t>
        </is>
      </c>
      <c r="C24" s="6" t="inlineStr">
        <is>
          <t>Core Devices（Pebble）</t>
        </is>
      </c>
      <c r="D24" s="7" t="inlineStr">
        <is>
          <t>米国</t>
        </is>
      </c>
      <c r="E24" s="7" t="inlineStr">
        <is>
          <t>健康計測（時計）</t>
        </is>
      </c>
      <c r="F24" s="7" t="inlineStr">
        <is>
          <t>Core Time 2 / Core 2 Duo</t>
        </is>
      </c>
      <c r="G24" s="7" t="inlineStr">
        <is>
          <t>約22,000〜34,000円（$149〜225）</t>
        </is>
      </c>
      <c r="H24" s="7" t="inlineStr">
        <is>
          <t>電子ペーパーで電池が長持ち。オープンソース</t>
        </is>
      </c>
      <c r="I24" s="7" t="inlineStr">
        <is>
          <t>日本のテック系メディアで紹介多数</t>
        </is>
      </c>
      <c r="J24" s="7" t="inlineStr">
        <is>
          <t>公式サイトから日本へ直送（代理店は見つからず）</t>
        </is>
      </c>
      <c r="K24" s="7" t="inlineStr">
        <is>
          <t>中：技適の取得状況が不明</t>
        </is>
      </c>
      <c r="L24" s="7" t="inlineStr">
        <is>
          <t>Apple Watchの充電に疲れた層や、昔のPebbleファンに刺さる</t>
        </is>
      </c>
      <c r="M24" s="7" t="inlineStr">
        <is>
          <t>低（欧米ブランド・展示会外で直接アプローチ）</t>
        </is>
      </c>
      <c r="N24" s="8" t="inlineStr">
        <is>
          <t>https://www.gizmodo.jp/2025/03/new-smartwatch-core-devices.html</t>
        </is>
      </c>
      <c r="O24" s="9" t="inlineStr">
        <is>
          <t>未着手</t>
        </is>
      </c>
      <c r="P24" s="10" t="inlineStr"/>
    </row>
    <row r="25">
      <c r="A25" s="4" t="n">
        <v>21</v>
      </c>
      <c r="B25" s="11" t="inlineStr">
        <is>
          <t>A</t>
        </is>
      </c>
      <c r="C25" s="6" t="inlineStr">
        <is>
          <t>HigherDOSE</t>
        </is>
      </c>
      <c r="D25" s="7" t="inlineStr">
        <is>
          <t>米国（ニューヨーク）</t>
        </is>
      </c>
      <c r="E25" s="7" t="inlineStr">
        <is>
          <t>温熱・リカバリー</t>
        </is>
      </c>
      <c r="F25" s="7" t="inlineStr">
        <is>
          <t>Infrared Sauna Blanket</t>
        </is>
      </c>
      <c r="G25" s="7" t="inlineStr">
        <is>
          <t>約105,000円（$699）</t>
        </is>
      </c>
      <c r="H25" s="7" t="inlineStr">
        <is>
          <t>持ち運べる遠赤外線サウナブランケット（最高約80℃）。低電磁波</t>
        </is>
      </c>
      <c r="I25" s="7" t="inlineStr">
        <is>
          <t>米国・カナダのSephora600店超で販売。英国でも販売</t>
        </is>
      </c>
      <c r="J25" s="7" t="inlineStr">
        <is>
          <t>日本の代理店・日本法人・Makuake案件は見つからず</t>
        </is>
      </c>
      <c r="K25" s="7" t="inlineStr">
        <is>
          <t>中：PSE（ヒーター・コンセント式）。デトックスの効能表現に注意</t>
        </is>
      </c>
      <c r="L25" s="7" t="inlineStr">
        <is>
          <t>日本はサウナブームで宅サウナの需要がある。美容の店に置ける見た目</t>
        </is>
      </c>
      <c r="M25" s="7" t="inlineStr">
        <is>
          <t>低（欧米ブランド・展示会外で直接アプローチ）</t>
        </is>
      </c>
      <c r="N25" s="8" t="inlineStr">
        <is>
          <t>https://www.beautyindependent.com/sephora-branches-wellness-tech-higherdose-launch/</t>
        </is>
      </c>
      <c r="O25" s="9" t="inlineStr">
        <is>
          <t>未着手</t>
        </is>
      </c>
      <c r="P25" s="10" t="inlineStr"/>
    </row>
    <row r="26">
      <c r="A26" s="4" t="n">
        <v>22</v>
      </c>
      <c r="B26" s="11" t="inlineStr">
        <is>
          <t>A</t>
        </is>
      </c>
      <c r="C26" s="6" t="inlineStr">
        <is>
          <t>Mito Red Light</t>
        </is>
      </c>
      <c r="D26" s="7" t="inlineStr">
        <is>
          <t>米国（スコッツデール）</t>
        </is>
      </c>
      <c r="E26" s="7" t="inlineStr">
        <is>
          <t>赤色光ケア</t>
        </is>
      </c>
      <c r="F26" s="7" t="inlineStr">
        <is>
          <t>MitoMIN〜MitoMEGA</t>
        </is>
      </c>
      <c r="G26" s="7" t="inlineStr">
        <is>
          <t>約37,000〜157,000円（$249〜1,049）</t>
        </is>
      </c>
      <c r="H26" s="7" t="inlineStr">
        <is>
          <t>パネルの種類が多く、波長は最大8種類</t>
        </is>
      </c>
      <c r="I26" s="7" t="inlineStr">
        <is>
          <t>年商約1,500万ドル、顧客7.5万人（会社は12.5万人超と主張）</t>
        </is>
      </c>
      <c r="J26" s="7" t="inlineStr">
        <is>
          <t>日本の代理店・日本法人・Makuake案件は見つからず</t>
        </is>
      </c>
      <c r="K26" s="7" t="inlineStr">
        <is>
          <t>中〜高：PSE。治療の効能は言わない（美容機器として売る）</t>
        </is>
      </c>
      <c r="L26" s="7" t="inlineStr">
        <is>
          <t>赤色光は日本ではまだ空白。美容・リカバリーの両方で打ち出せる</t>
        </is>
      </c>
      <c r="M26" s="7" t="inlineStr">
        <is>
          <t>低（欧米ブランド・展示会外で直接アプローチ）</t>
        </is>
      </c>
      <c r="N26" s="8" t="inlineStr">
        <is>
          <t>https://www.wipo.int/ko/web/ip-advantage/w/stories/mito-red-light</t>
        </is>
      </c>
      <c r="O26" s="9" t="inlineStr">
        <is>
          <t>未着手</t>
        </is>
      </c>
      <c r="P26" s="10" t="inlineStr"/>
    </row>
    <row r="27">
      <c r="A27" s="4" t="n">
        <v>23</v>
      </c>
      <c r="B27" s="11" t="inlineStr">
        <is>
          <t>A</t>
        </is>
      </c>
      <c r="C27" s="6" t="inlineStr">
        <is>
          <t>Bon Charge</t>
        </is>
      </c>
      <c r="D27" s="7" t="inlineStr">
        <is>
          <t>オーストラリア（シドニー）</t>
        </is>
      </c>
      <c r="E27" s="7" t="inlineStr">
        <is>
          <t>赤色光・睡眠</t>
        </is>
      </c>
      <c r="F27" s="7" t="inlineStr">
        <is>
          <t>Red Light Face Mask / パネル</t>
        </is>
      </c>
      <c r="G27" s="7" t="inlineStr">
        <is>
          <t>約50,000円（マスク AUD499）〜</t>
        </is>
      </c>
      <c r="H27" s="7" t="inlineStr">
        <is>
          <t>赤色光とブルーライト対策を幅広くそろえる。低電磁波・ちらつきなし</t>
        </is>
      </c>
      <c r="I27" s="7" t="inlineStr">
        <is>
          <t>ホテル・中東の小売と提携（売上は見つからず）</t>
        </is>
      </c>
      <c r="J27" s="7" t="inlineStr">
        <is>
          <t>日本の代理店・日本法人・Makuake案件は見つからず</t>
        </is>
      </c>
      <c r="K27" s="7" t="inlineStr">
        <is>
          <t>中：美容機器として売る。PSE（パネル）</t>
        </is>
      </c>
      <c r="L27" s="7" t="inlineStr">
        <is>
          <t>LEDマスクは日本の美容市場で需要がある。睡眠用メガネなどとのセット販売も可能</t>
        </is>
      </c>
      <c r="M27" s="7" t="inlineStr">
        <is>
          <t>低（欧米ブランド・展示会外で直接アプローチ）</t>
        </is>
      </c>
      <c r="N27" s="8" t="inlineStr">
        <is>
          <t>https://channellife.com.au/story/bon-charge-launches-recharge-sale-with-aud-500-off</t>
        </is>
      </c>
      <c r="O27" s="9" t="inlineStr">
        <is>
          <t>未着手</t>
        </is>
      </c>
      <c r="P27" s="10" t="inlineStr"/>
    </row>
    <row r="28">
      <c r="A28" s="4" t="n">
        <v>24</v>
      </c>
      <c r="B28" s="11" t="inlineStr">
        <is>
          <t>A</t>
        </is>
      </c>
      <c r="C28" s="6" t="inlineStr">
        <is>
          <t>Plunge</t>
        </is>
      </c>
      <c r="D28" s="7" t="inlineStr">
        <is>
          <t>米国（サクラメント）</t>
        </is>
      </c>
      <c r="E28" s="7" t="inlineStr">
        <is>
          <t>冷水浴・リカバリー</t>
        </is>
      </c>
      <c r="F28" s="7" t="inlineStr">
        <is>
          <t>The Plunge</t>
        </is>
      </c>
      <c r="G28" s="7" t="inlineStr">
        <is>
          <t>約750,000円（$4,990）</t>
        </is>
      </c>
      <c r="H28" s="7" t="inlineStr">
        <is>
          <t>アプリで操作する冷水浴の浴槽。氷なしで3〜4℃に保ち、ろ過・殺菌付き</t>
        </is>
      </c>
      <c r="I28" s="7" t="inlineStr">
        <is>
          <t>累計売上2億ドル超、3万台超を販売。Wefunderで2週間に130万ドル超</t>
        </is>
      </c>
      <c r="J28" s="7" t="inlineStr">
        <is>
          <t>日本の代理店・日本法人・Makuake案件は見つからず（国内には競合のPlungeXがある）</t>
        </is>
      </c>
      <c r="K28" s="7" t="inlineStr">
        <is>
          <t>高：PSE、100V化、技適、配送と設置</t>
        </is>
      </c>
      <c r="L28" s="7" t="inlineStr">
        <is>
          <t>サウナとの組み合わせでジム・ホテルなど法人にも売れる。国内に競合がすでにいる</t>
        </is>
      </c>
      <c r="M28" s="7" t="inlineStr">
        <is>
          <t>低（欧米ブランド・展示会外で直接アプローチ）</t>
        </is>
      </c>
      <c r="N28" s="8" t="inlineStr">
        <is>
          <t>https://athletechnews.com/want-a-stake-in-plunge-investment-opportunities-now-open</t>
        </is>
      </c>
      <c r="O28" s="9" t="inlineStr">
        <is>
          <t>未着手</t>
        </is>
      </c>
      <c r="P28" s="10" t="inlineStr"/>
    </row>
    <row r="29">
      <c r="A29" s="4" t="n">
        <v>25</v>
      </c>
      <c r="B29" s="11" t="inlineStr">
        <is>
          <t>A</t>
        </is>
      </c>
      <c r="C29" s="6" t="inlineStr">
        <is>
          <t>FORM</t>
        </is>
      </c>
      <c r="D29" s="7" t="inlineStr">
        <is>
          <t>カナダ（バンクーバー）</t>
        </is>
      </c>
      <c r="E29" s="7" t="inlineStr">
        <is>
          <t>スポーツ</t>
        </is>
      </c>
      <c r="F29" s="7" t="inlineStr">
        <is>
          <t>FORM Smart Swim 2</t>
        </is>
      </c>
      <c r="G29" s="7" t="inlineStr">
        <is>
          <t>約38,700円（Amazon.co.jpの並行品価格）</t>
        </is>
      </c>
      <c r="H29" s="7" t="inlineStr">
        <is>
          <t>ゴーグルの内側に距離やペースをAR表示する。Pro版は心拍も</t>
        </is>
      </c>
      <c r="I29" s="7" t="inlineStr">
        <is>
          <t>シリーズAで1,200万カナダドル。最初の4カ月で1万個超</t>
        </is>
      </c>
      <c r="J29" s="7" t="inlineStr">
        <is>
          <t>正規代理店は見つからず。並行輸入業者とAmazon.co.jpの出品だけ</t>
        </is>
      </c>
      <c r="K29" s="7" t="inlineStr">
        <is>
          <t>中：技適が最大の関門</t>
        </is>
      </c>
      <c r="L29" s="7" t="inlineStr">
        <is>
          <t>正規代理店になれば並行品との差別化（保証・日本語サポート）ができる</t>
        </is>
      </c>
      <c r="M29" s="7" t="inlineStr">
        <is>
          <t>低（欧米ブランド・展示会外で直接アプローチ）</t>
        </is>
      </c>
      <c r="N29" s="8" t="inlineStr">
        <is>
          <t>https://www.moguravr.com/?p=272425</t>
        </is>
      </c>
      <c r="O29" s="9" t="inlineStr">
        <is>
          <t>未着手</t>
        </is>
      </c>
      <c r="P29" s="10" t="inlineStr"/>
    </row>
    <row r="30">
      <c r="A30" s="4" t="n">
        <v>26</v>
      </c>
      <c r="B30" s="11" t="inlineStr">
        <is>
          <t>A</t>
        </is>
      </c>
      <c r="C30" s="6" t="inlineStr">
        <is>
          <t>Momax（OneSense Soul）</t>
        </is>
      </c>
      <c r="D30" s="7" t="inlineStr">
        <is>
          <t>香港</t>
        </is>
      </c>
      <c r="E30" s="7" t="inlineStr">
        <is>
          <t>健康計測（スマートリング）</t>
        </is>
      </c>
      <c r="F30" s="7" t="inlineStr">
        <is>
          <t>OneSense Soul AIリング</t>
        </is>
      </c>
      <c r="G30" s="7" t="inlineStr">
        <is>
          <t>未確認</t>
        </is>
      </c>
      <c r="H30" s="7" t="inlineStr">
        <is>
          <t>感情を認識するとうたうAIスマートリング</t>
        </is>
      </c>
      <c r="I30" s="7" t="inlineStr">
        <is>
          <t>2025年秋の香港エレクトロニクス・フェアで発表</t>
        </is>
      </c>
      <c r="J30" s="7" t="inlineStr">
        <is>
          <t>スマートリングの日本展開は見つからず（Momaxの他製品が日本でどう売られているかは要確認）</t>
        </is>
      </c>
      <c r="K30" s="7" t="inlineStr">
        <is>
          <t>中：技適</t>
        </is>
      </c>
      <c r="L30" s="7" t="inlineStr">
        <is>
          <t>今回の候補で、香港の会場で確実に会える数少ないウェルネスブランド</t>
        </is>
      </c>
      <c r="M30" s="7" t="inlineStr">
        <is>
          <t>高（中華圏・2025年出展実績など）</t>
        </is>
      </c>
      <c r="N30" s="8" t="inlineStr">
        <is>
          <t>https://momaxsense.com/blogs/news/momax-sense-at-hktdc-2025</t>
        </is>
      </c>
      <c r="O30" s="9" t="inlineStr">
        <is>
          <t>未着手</t>
        </is>
      </c>
      <c r="P30" s="10" t="inlineStr"/>
    </row>
    <row r="31">
      <c r="A31" s="4" t="n">
        <v>27</v>
      </c>
      <c r="B31" s="12" t="inlineStr">
        <is>
          <t>B</t>
        </is>
      </c>
      <c r="C31" s="6" t="inlineStr">
        <is>
          <t>Somnee</t>
        </is>
      </c>
      <c r="D31" s="7" t="inlineStr">
        <is>
          <t>米国（バークレー）</t>
        </is>
      </c>
      <c r="E31" s="7" t="inlineStr">
        <is>
          <t>睡眠（ニューロテック）</t>
        </is>
      </c>
      <c r="F31" s="7" t="inlineStr">
        <is>
          <t>Somnee ヘッドバンド</t>
        </is>
      </c>
      <c r="G31" s="7" t="inlineStr">
        <is>
          <t>約64,000円（$429）</t>
        </is>
      </c>
      <c r="H31" s="7" t="inlineStr">
        <is>
          <t>EEGとAIで個人に合わせた刺激を与え、試験で寝つきが2倍早くなった</t>
        </is>
      </c>
      <c r="I31" s="7" t="inlineStr">
        <is>
          <t>シード1,000万ドル（Khosla Ventures）。Fast Companyの注目テックに選出</t>
        </is>
      </c>
      <c r="J31" s="7" t="inlineStr">
        <is>
          <t>日本の代理店・日本法人・Makuake案件は見つからず</t>
        </is>
      </c>
      <c r="K31" s="7" t="inlineStr">
        <is>
          <t>非常に高：脳への刺激は医療機器と判断される可能性</t>
        </is>
      </c>
      <c r="L31" s="7" t="inlineStr">
        <is>
          <t>技術は魅力的だが、日本では規制の確認が先</t>
        </is>
      </c>
      <c r="M31" s="7" t="inlineStr">
        <is>
          <t>低（欧米ブランド・展示会外で直接アプローチ）</t>
        </is>
      </c>
      <c r="N31" s="8" t="inlineStr">
        <is>
          <t>https://www.fiercehealthcare.com/health-tech/khosla-ventures-orlando-magic-owners-back-sleep-tech-company-somnees-10m-round</t>
        </is>
      </c>
      <c r="O31" s="9" t="inlineStr">
        <is>
          <t>未着手</t>
        </is>
      </c>
      <c r="P31" s="10" t="inlineStr"/>
    </row>
    <row r="32">
      <c r="A32" s="4" t="n">
        <v>28</v>
      </c>
      <c r="B32" s="12" t="inlineStr">
        <is>
          <t>B</t>
        </is>
      </c>
      <c r="C32" s="6" t="inlineStr">
        <is>
          <t>Kineon</t>
        </is>
      </c>
      <c r="D32" s="7" t="inlineStr">
        <is>
          <t>米国（アトランタ）</t>
        </is>
      </c>
      <c r="E32" s="7" t="inlineStr">
        <is>
          <t>赤色光（関節）</t>
        </is>
      </c>
      <c r="F32" s="7" t="inlineStr">
        <is>
          <t>MOVE+ Pro</t>
        </is>
      </c>
      <c r="G32" s="7" t="inlineStr">
        <is>
          <t>約75,000円（$499）</t>
        </is>
      </c>
      <c r="H32" s="7" t="inlineStr">
        <is>
          <t>LED（660nm）とレーザー（808nm）を組み合わせ、膝などの関節に巻くウェアラブル</t>
        </is>
      </c>
      <c r="I32" s="7" t="inlineStr">
        <is>
          <t>Indiegogoで100万ドル超。9カ月で1万台超を出荷</t>
        </is>
      </c>
      <c r="J32" s="7" t="inlineStr">
        <is>
          <t>日本の代理店・日本法人・Makuake案件は見つからず</t>
        </is>
      </c>
      <c r="K32" s="7" t="inlineStr">
        <is>
          <t>高：関節痛向け・レーザー入りで医療機器（光線治療器）に当たる可能性</t>
        </is>
      </c>
      <c r="L32" s="7" t="inlineStr">
        <is>
          <t>高齢化した日本でのニーズは大きいが、規制の確認が先</t>
        </is>
      </c>
      <c r="M32" s="7" t="inlineStr">
        <is>
          <t>低（欧米ブランド・展示会外で直接アプローチ）</t>
        </is>
      </c>
      <c r="N32" s="8" t="inlineStr">
        <is>
          <t>https://athletechnews.com/?p=102185</t>
        </is>
      </c>
      <c r="O32" s="9" t="inlineStr">
        <is>
          <t>未着手</t>
        </is>
      </c>
      <c r="P32" s="10" t="inlineStr"/>
    </row>
    <row r="33">
      <c r="A33" s="4" t="n">
        <v>29</v>
      </c>
      <c r="B33" s="12" t="inlineStr">
        <is>
          <t>B</t>
        </is>
      </c>
      <c r="C33" s="6" t="inlineStr">
        <is>
          <t>Ekrin Athletics</t>
        </is>
      </c>
      <c r="D33" s="7" t="inlineStr">
        <is>
          <t>米国</t>
        </is>
      </c>
      <c r="E33" s="7" t="inlineStr">
        <is>
          <t>マッサージガン</t>
        </is>
      </c>
      <c r="F33" s="7" t="inlineStr">
        <is>
          <t>B37S</t>
        </is>
      </c>
      <c r="G33" s="7" t="inlineStr">
        <is>
          <t>約50,000円（$330）</t>
        </is>
      </c>
      <c r="H33" s="7" t="inlineStr">
        <is>
          <t>握りやすい15°の角度、強いトルク、生涯保証</t>
        </is>
      </c>
      <c r="I33" s="7" t="inlineStr">
        <is>
          <t>資金調達・販売台数は見つからず</t>
        </is>
      </c>
      <c r="J33" s="7" t="inlineStr">
        <is>
          <t>並行輸入品が1.8〜2.5万円で流通（正規代理店なし）</t>
        </is>
      </c>
      <c r="K33" s="7" t="inlineStr">
        <is>
          <t>高：家庭用電気マッサージ器は管理医療機器（認証が必要）</t>
        </is>
      </c>
      <c r="L33" s="7" t="inlineStr">
        <is>
          <t>マッサージガンは日本で競合が多すぎる。認証を取るコストに見合わない可能性</t>
        </is>
      </c>
      <c r="M33" s="7" t="inlineStr">
        <is>
          <t>低（欧米ブランド・展示会外で直接アプローチ）</t>
        </is>
      </c>
      <c r="N33" s="8" t="inlineStr">
        <is>
          <t>https://jisaku.com/glossary/ekrin-b37s-massage-gun</t>
        </is>
      </c>
      <c r="O33" s="9" t="inlineStr">
        <is>
          <t>未着手</t>
        </is>
      </c>
      <c r="P33" s="10" t="inlineStr"/>
    </row>
    <row r="34">
      <c r="A34" s="4" t="n">
        <v>30</v>
      </c>
      <c r="B34" s="12" t="inlineStr">
        <is>
          <t>B</t>
        </is>
      </c>
      <c r="C34" s="6" t="inlineStr">
        <is>
          <t>Perifit</t>
        </is>
      </c>
      <c r="D34" s="7" t="inlineStr">
        <is>
          <t>フランス（パリ）</t>
        </is>
      </c>
      <c r="E34" s="7" t="inlineStr">
        <is>
          <t>女性の健康</t>
        </is>
      </c>
      <c r="F34" s="7" t="inlineStr">
        <is>
          <t>Perifit Care+</t>
        </is>
      </c>
      <c r="G34" s="7" t="inlineStr">
        <is>
          <t>約27,000円（$179）</t>
        </is>
      </c>
      <c r="H34" s="7" t="inlineStr">
        <is>
          <t>アプリのゲームで骨盤底筋を鍛える。FDA認可</t>
        </is>
      </c>
      <c r="I34" s="7" t="inlineStr">
        <is>
          <t>会社によると利用者60万人超。売上推定約800万ドル</t>
        </is>
      </c>
      <c r="J34" s="7" t="inlineStr">
        <is>
          <t>Amazon.co.jpに日本語の出品あり。日本のアプリストアにもアプリがある。正規の扱いかは不明</t>
        </is>
      </c>
      <c r="K34" s="7" t="inlineStr">
        <is>
          <t>高：尿もれへの効能をうたうと医療機器になる。技適</t>
        </is>
      </c>
      <c r="L34" s="7" t="inlineStr">
        <is>
          <t>フェムテックは日本で伸びているが、すでに販売者がいる。権利関係の確認が先</t>
        </is>
      </c>
      <c r="M34" s="7" t="inlineStr">
        <is>
          <t>低（欧米ブランド・展示会外で直接アプローチ）</t>
        </is>
      </c>
      <c r="N34" s="8" t="inlineStr">
        <is>
          <t>https://apps.apple.com/jp/app/perifit-care/id1183437203</t>
        </is>
      </c>
      <c r="O34" s="9" t="inlineStr">
        <is>
          <t>未着手</t>
        </is>
      </c>
      <c r="P34" s="10" t="inlineStr"/>
    </row>
    <row r="35">
      <c r="A35" s="4" t="n">
        <v>31</v>
      </c>
      <c r="B35" s="12" t="inlineStr">
        <is>
          <t>B</t>
        </is>
      </c>
      <c r="C35" s="6" t="inlineStr">
        <is>
          <t>WHOOP</t>
        </is>
      </c>
      <c r="D35" s="7" t="inlineStr">
        <is>
          <t>米国（ボストン）</t>
        </is>
      </c>
      <c r="E35" s="7" t="inlineStr">
        <is>
          <t>健康計測</t>
        </is>
      </c>
      <c r="F35" s="7" t="inlineStr">
        <is>
          <t>WHOOP 5.0 / MG</t>
        </is>
      </c>
      <c r="G35" s="7" t="inlineStr">
        <is>
          <t>年30,000〜54,000円（会員料）</t>
        </is>
      </c>
      <c r="H35" s="7" t="inlineStr">
        <is>
          <t>画面のないバンドで、回復度と負荷をコーチング。MGは心電図と血圧も</t>
        </is>
      </c>
      <c r="I35" s="7" t="inlineStr">
        <is>
          <t>シリーズGで5.75億ドル（評価額101億ドル）</t>
        </is>
      </c>
      <c r="J35" s="7" t="inlineStr">
        <is>
          <t>日本へは新規の配送をしていない（56市場で展開、香港・韓国・台湾は対象）</t>
        </is>
      </c>
      <c r="K35" s="7" t="inlineStr">
        <is>
          <t>高：MGの心電図・血圧機能は薬機法の対象。技適</t>
        </is>
      </c>
      <c r="L35" s="7" t="inlineStr">
        <is>
          <t>アスリートの認知度は高いが、サブスク型なので代理店ではなく提携の形になる</t>
        </is>
      </c>
      <c r="M35" s="7" t="inlineStr">
        <is>
          <t>中（アジア拠点・Click2Matchで要確認）</t>
        </is>
      </c>
      <c r="N35" s="8" t="inlineStr">
        <is>
          <t>https://www.community.whoop.com/t/whoop-website-saying-not-currently-shipping-to-japan/1090</t>
        </is>
      </c>
      <c r="O35" s="9" t="inlineStr">
        <is>
          <t>未着手</t>
        </is>
      </c>
      <c r="P35" s="10" t="inlineStr"/>
    </row>
    <row r="36">
      <c r="A36" s="4" t="n">
        <v>32</v>
      </c>
      <c r="B36" s="12" t="inlineStr">
        <is>
          <t>B</t>
        </is>
      </c>
      <c r="C36" s="6" t="inlineStr">
        <is>
          <t>Orka</t>
        </is>
      </c>
      <c r="D36" s="7" t="inlineStr">
        <is>
          <t>米国／香港（Orka Health Ltd）</t>
        </is>
      </c>
      <c r="E36" s="7" t="inlineStr">
        <is>
          <t>聴こえ</t>
        </is>
      </c>
      <c r="F36" s="7" t="inlineStr">
        <is>
          <t>Orka Two / O1 Pro</t>
        </is>
      </c>
      <c r="G36" s="7" t="inlineStr">
        <is>
          <t>約285,000円（$1,899）</t>
        </is>
      </c>
      <c r="H36" s="7" t="inlineStr">
        <is>
          <t>イヤホンのチップを使ったAIノイズ低減の補聴器。新製品はBoseのノイズキャンセルを搭載</t>
        </is>
      </c>
      <c r="I36" s="7" t="inlineStr">
        <is>
          <t>Sequoia・Tencentが出資（金額は不明）</t>
        </is>
      </c>
      <c r="J36" s="7" t="inlineStr">
        <is>
          <t>日本の代理店・日本法人・Makuake案件は見つからず</t>
        </is>
      </c>
      <c r="K36" s="7" t="inlineStr">
        <is>
          <t>非常に高：補聴器は管理医療機器（認証が必要）</t>
        </is>
      </c>
      <c r="L36" s="7" t="inlineStr">
        <is>
          <t>難聴の市場は大きいが、医療機器の事業になる。香港の拠点に会える可能性はある</t>
        </is>
      </c>
      <c r="M36" s="7" t="inlineStr">
        <is>
          <t>中（アジア拠点・Click2Matchで要確認）</t>
        </is>
      </c>
      <c r="N36" s="8" t="inlineStr">
        <is>
          <t>https://www.hearingtracker.com/news/orka-two-hearing-aid-launched-with-general-chip-technology-ai-denoise-bluetooth-and-personalized-fitting</t>
        </is>
      </c>
      <c r="O36" s="9" t="inlineStr">
        <is>
          <t>未着手</t>
        </is>
      </c>
      <c r="P36" s="10" t="inlineStr"/>
    </row>
    <row r="37">
      <c r="A37" s="4" t="n">
        <v>33</v>
      </c>
      <c r="B37" s="13" t="inlineStr">
        <is>
          <t>C</t>
        </is>
      </c>
      <c r="C37" s="6" t="inlineStr">
        <is>
          <t>NOWATCH</t>
        </is>
      </c>
      <c r="D37" s="7" t="inlineStr">
        <is>
          <t>オランダ（アムステルダム）</t>
        </is>
      </c>
      <c r="E37" s="7" t="inlineStr">
        <is>
          <t>ストレス計測</t>
        </is>
      </c>
      <c r="F37" s="7" t="inlineStr">
        <is>
          <t>NOWATCH</t>
        </is>
      </c>
      <c r="G37" s="7" t="inlineStr">
        <is>
          <t>約75,000円（Indiegogo価格 約$500）</t>
        </is>
      </c>
      <c r="H37" s="7" t="inlineStr">
        <is>
          <t>画面のない石の文字盤。皮膚電気活動（EDA）でストレスを最大1時間前に予測するとうたう</t>
        </is>
      </c>
      <c r="I37" s="7" t="inlineStr">
        <is>
          <t>シリーズAで870万ドル。Indiegogoで約10万ドル</t>
        </is>
      </c>
      <c r="J37" s="7" t="inlineStr">
        <is>
          <t>日本の代理店・日本法人・Makuake案件は見つからず</t>
        </is>
      </c>
      <c r="K37" s="7" t="inlineStr">
        <is>
          <t>中：ストレス予測の表現に注意。技適</t>
        </is>
      </c>
      <c r="L37" s="7" t="inlineStr">
        <is>
          <t>2026年も事業を続けているか、まず確認が必要</t>
        </is>
      </c>
      <c r="M37" s="7" t="inlineStr">
        <is>
          <t>低（欧米ブランド・展示会外で直接アプローチ）</t>
        </is>
      </c>
      <c r="N37" s="8" t="inlineStr">
        <is>
          <t>https://tech.eu/2022/06/16/amsterdam-s-stress-predicting-nowatch-clocks-8-7-million/</t>
        </is>
      </c>
      <c r="O37" s="9" t="inlineStr">
        <is>
          <t>未着手</t>
        </is>
      </c>
      <c r="P37" s="10" t="inlineStr"/>
    </row>
    <row r="38">
      <c r="A38" s="4" t="n">
        <v>34</v>
      </c>
      <c r="B38" s="13" t="inlineStr">
        <is>
          <t>C</t>
        </is>
      </c>
      <c r="C38" s="6" t="inlineStr">
        <is>
          <t>Hapbee</t>
        </is>
      </c>
      <c r="D38" s="7" t="inlineStr">
        <is>
          <t>カナダ（バンクーバー）</t>
        </is>
      </c>
      <c r="E38" s="7" t="inlineStr">
        <is>
          <t>睡眠・リラックス</t>
        </is>
      </c>
      <c r="F38" s="7" t="inlineStr">
        <is>
          <t>Hapbee ネックバンド</t>
        </is>
      </c>
      <c r="G38" s="7" t="inlineStr">
        <is>
          <t>約60,000円（$399〜）</t>
        </is>
      </c>
      <c r="H38" s="7" t="inlineStr">
        <is>
          <t>弱い磁気の信号で「リラックス」「睡眠」「集中」の感覚を出すとうたう</t>
        </is>
      </c>
      <c r="I38" s="7" t="inlineStr">
        <is>
          <t>カナダの上場小型株。2025年にSmile Group Asiaとアジア展開で提携</t>
        </is>
      </c>
      <c r="J38" s="7" t="inlineStr">
        <is>
          <t>日本は見つからず。アジアの提携先との権利の重なりを確認が必要</t>
        </is>
      </c>
      <c r="K38" s="7" t="inlineStr">
        <is>
          <t>高：科学的根拠が弱く、景表法・薬機法のリスクが大きい</t>
        </is>
      </c>
      <c r="L38" s="7" t="inlineStr">
        <is>
          <t>おすすめしない</t>
        </is>
      </c>
      <c r="M38" s="7" t="inlineStr">
        <is>
          <t>低（欧米ブランド・展示会外で直接アプローチ）</t>
        </is>
      </c>
      <c r="N38" s="8" t="inlineStr">
        <is>
          <t>https://markets.financialcontent.com/malvern-online/article/gnwcq-2025-8-18-hapbee-secures-strategic-backing-and-commercial-agreement-to-enter-multi-billion-dollar-asian-wellness-market</t>
        </is>
      </c>
      <c r="O38" s="9" t="inlineStr">
        <is>
          <t>未着手</t>
        </is>
      </c>
      <c r="P38" s="10" t="inlineStr"/>
    </row>
    <row r="39">
      <c r="A39" s="4" t="n">
        <v>35</v>
      </c>
      <c r="B39" s="13" t="inlineStr">
        <is>
          <t>C</t>
        </is>
      </c>
      <c r="C39" s="6" t="inlineStr">
        <is>
          <t>Wellue（Viatom）</t>
        </is>
      </c>
      <c r="D39" s="7" t="inlineStr">
        <is>
          <t>中国（深圳）</t>
        </is>
      </c>
      <c r="E39" s="7" t="inlineStr">
        <is>
          <t>健康計測（医療寄り）</t>
        </is>
      </c>
      <c r="F39" s="7" t="inlineStr">
        <is>
          <t>O2Ring</t>
        </is>
      </c>
      <c r="G39" s="7" t="inlineStr">
        <is>
          <t>約23,000〜27,000円（$153〜179）</t>
        </is>
      </c>
      <c r="H39" s="7" t="inlineStr">
        <is>
          <t>一晩中SpO2を測る指輪型。低下すると振動で知らせる。FDA 510(k)取得</t>
        </is>
      </c>
      <c r="I39" s="7" t="inlineStr">
        <is>
          <t>クラファンは見つからず</t>
        </is>
      </c>
      <c r="J39" s="7" t="inlineStr">
        <is>
          <t>不明：「チェックミーリング」という製品が日本で医療機器認証を取っている（同社製と思われるが、販売元は確認できず）</t>
        </is>
      </c>
      <c r="K39" s="7" t="inlineStr">
        <is>
          <t>非常に高：パルスオキシメーターは管理医療機器</t>
        </is>
      </c>
      <c r="L39" s="7" t="inlineStr">
        <is>
          <t>医療機器の販売許可（製造販売業）が必要。会場で会える可能性は高い</t>
        </is>
      </c>
      <c r="M39" s="7" t="inlineStr">
        <is>
          <t>高（中華圏・2025年出展実績など）</t>
        </is>
      </c>
      <c r="N39" s="8" t="inlineStr">
        <is>
          <t>https://getwellue.com/products/o2ring-continuous-ring-oxygen-monitorx2</t>
        </is>
      </c>
      <c r="O39" s="9" t="inlineStr">
        <is>
          <t>未着手</t>
        </is>
      </c>
      <c r="P39" s="10" t="inlineStr"/>
    </row>
    <row r="40">
      <c r="A40" s="4" t="n">
        <v>36</v>
      </c>
      <c r="B40" s="13" t="inlineStr">
        <is>
          <t>C</t>
        </is>
      </c>
      <c r="C40" s="6" t="inlineStr">
        <is>
          <t>Sleepme（Dock Pro）</t>
        </is>
      </c>
      <c r="D40" s="7" t="inlineStr">
        <is>
          <t>米国</t>
        </is>
      </c>
      <c r="E40" s="7" t="inlineStr">
        <is>
          <t>睡眠（寝床の温度）</t>
        </is>
      </c>
      <c r="F40" s="7" t="inlineStr">
        <is>
          <t>Dock Pro</t>
        </is>
      </c>
      <c r="G40" s="7" t="inlineStr">
        <is>
          <t>約150,000円〜（$999〜）</t>
        </is>
      </c>
      <c r="H40" s="7" t="inlineStr">
        <is>
          <t>水を循環させて冷やす・温めるマットレストッパー</t>
        </is>
      </c>
      <c r="I40" s="7" t="inlineStr">
        <is>
          <t>前の運営会社は2023年に閉鎖し、Sleep Solutions Inc.が資産を買収</t>
        </is>
      </c>
      <c r="J40" s="7" t="inlineStr">
        <is>
          <t>日本の代理店・日本法人・Makuake案件は見つからず</t>
        </is>
      </c>
      <c r="K40" s="7" t="inlineStr">
        <is>
          <t>高：PSE・100V化</t>
        </is>
      </c>
      <c r="L40" s="7" t="inlineStr">
        <is>
          <t>会社の経緯に不安があり、Eight SleepかBedJetを優先</t>
        </is>
      </c>
      <c r="M40" s="7" t="inlineStr">
        <is>
          <t>低（欧米ブランド・展示会外で直接アプローチ）</t>
        </is>
      </c>
      <c r="N40" s="8" t="inlineStr">
        <is>
          <t>https://sleep.me/post/new-future-with-sleep-solutions-inc</t>
        </is>
      </c>
      <c r="O40" s="9" t="inlineStr">
        <is>
          <t>未着手</t>
        </is>
      </c>
      <c r="P40" s="10" t="inlineStr"/>
    </row>
    <row r="41">
      <c r="A41" s="4" t="n">
        <v>37</v>
      </c>
      <c r="B41" s="13" t="inlineStr">
        <is>
          <t>C</t>
        </is>
      </c>
      <c r="C41" s="6" t="inlineStr">
        <is>
          <t>Easenory Technology</t>
        </is>
      </c>
      <c r="D41" s="7" t="inlineStr">
        <is>
          <t>香港</t>
        </is>
      </c>
      <c r="E41" s="7" t="inlineStr">
        <is>
          <t>スマートウェア</t>
        </is>
      </c>
      <c r="F41" s="7" t="inlineStr">
        <is>
          <t>洗えるテキスタイルセンサー</t>
        </is>
      </c>
      <c r="G41" s="7" t="inlineStr">
        <is>
          <t>未確認</t>
        </is>
      </c>
      <c r="H41" s="7" t="inlineStr">
        <is>
          <t>スポーツウェアに縫い込める、洗濯できる布のセンサー</t>
        </is>
      </c>
      <c r="I41" s="7" t="inlineStr">
        <is>
          <t>2024年創業。2025年の香港エレクトロニクス・フェアに出展</t>
        </is>
      </c>
      <c r="J41" s="7" t="inlineStr">
        <is>
          <t>見つからず</t>
        </is>
      </c>
      <c r="K41" s="7" t="inlineStr">
        <is>
          <t>中：技適</t>
        </is>
      </c>
      <c r="L41" s="7" t="inlineStr">
        <is>
          <t>今は部品・法人向けの性格が強い。完成品のブランドがあるか会場で確認</t>
        </is>
      </c>
      <c r="M41" s="7" t="inlineStr">
        <is>
          <t>高（中華圏・2025年出展実績など）</t>
        </is>
      </c>
      <c r="N41" s="8" t="inlineStr">
        <is>
          <t>https://www.jumpstartmag.com/reimagining-smart-wearables-with-easenory-technology-limited-at-hktdc-electronics-fair-autumn-edition-2025/</t>
        </is>
      </c>
      <c r="O41" s="9" t="inlineStr">
        <is>
          <t>未着手</t>
        </is>
      </c>
      <c r="P41" s="10" t="inlineStr"/>
    </row>
  </sheetData>
  <autoFilter ref="A4:P41"/>
  <mergeCells count="1">
    <mergeCell ref="A2:P2"/>
  </mergeCells>
  <dataValidations count="1">
    <dataValidation sqref="O5:O41" showDropDown="0" showInputMessage="0" showErrorMessage="0" allowBlank="1" type="list">
      <formula1>"未着手,アポ打診中,面談済,資料受領,条件交渉中,見送り"</formula1>
    </dataValidation>
  </dataValidation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  <hyperlink xmlns:r="http://schemas.openxmlformats.org/officeDocument/2006/relationships" ref="N25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3" r:id="rId29"/>
    <hyperlink xmlns:r="http://schemas.openxmlformats.org/officeDocument/2006/relationships" ref="N34" r:id="rId30"/>
    <hyperlink xmlns:r="http://schemas.openxmlformats.org/officeDocument/2006/relationships" ref="N35" r:id="rId31"/>
    <hyperlink xmlns:r="http://schemas.openxmlformats.org/officeDocument/2006/relationships" ref="N36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0" customWidth="1" min="4" max="4"/>
    <col width="60" customWidth="1" min="5" max="5"/>
    <col width="50" customWidth="1" min="6" max="6"/>
  </cols>
  <sheetData>
    <row r="1">
      <c r="A1" s="1" t="inlineStr">
        <is>
          <t>除外したブランド（日本展開済み・事業停止など）</t>
        </is>
      </c>
    </row>
    <row r="3" ht="32" customHeight="1">
      <c r="A3" s="3" t="inlineStr">
        <is>
          <t>No</t>
        </is>
      </c>
      <c r="B3" s="3" t="inlineStr">
        <is>
          <t>ブランド</t>
        </is>
      </c>
      <c r="C3" s="3" t="inlineStr">
        <is>
          <t>本社</t>
        </is>
      </c>
      <c r="D3" s="3" t="inlineStr">
        <is>
          <t>サブカテゴリ</t>
        </is>
      </c>
      <c r="E3" s="3" t="inlineStr">
        <is>
          <t>除外の理由</t>
        </is>
      </c>
      <c r="F3" s="3" t="inlineStr">
        <is>
          <t>出典</t>
        </is>
      </c>
    </row>
    <row r="4">
      <c r="A4" s="14" t="n">
        <v>1</v>
      </c>
      <c r="B4" s="15" t="inlineStr">
        <is>
          <t>Circular（Ring 2）</t>
        </is>
      </c>
      <c r="C4" s="14" t="inlineStr">
        <is>
          <t>フランス</t>
        </is>
      </c>
      <c r="D4" s="14" t="inlineStr">
        <is>
          <t>スマートリング</t>
        </is>
      </c>
      <c r="E4" s="14" t="inlineStr">
        <is>
          <t>日本の代理店（株式会社アースリボーン）が2026年7月に発売。ヨドバシで販売</t>
        </is>
      </c>
      <c r="F4" s="16" t="inlineStr">
        <is>
          <t>https://prtimes.jp/main/html/rd/p/000000160.000080785.html</t>
        </is>
      </c>
    </row>
    <row r="5">
      <c r="A5" s="14" t="n">
        <v>2</v>
      </c>
      <c r="B5" s="15" t="inlineStr">
        <is>
          <t>Ultrahuman（Ring AIR）</t>
        </is>
      </c>
      <c r="C5" s="14" t="inlineStr">
        <is>
          <t>インド</t>
        </is>
      </c>
      <c r="D5" s="14" t="inlineStr">
        <is>
          <t>スマートリング</t>
        </is>
      </c>
      <c r="E5" s="14" t="inlineStr">
        <is>
          <t>SB C&amp;Sと販売代理店契約（2024年10月〜）</t>
        </is>
      </c>
      <c r="F5" s="16" t="inlineStr">
        <is>
          <t>https://cas.softbank.jp/wp-content/uploads/2024/10/241024_01.pdf</t>
        </is>
      </c>
    </row>
    <row r="6">
      <c r="A6" s="14" t="n">
        <v>3</v>
      </c>
      <c r="B6" s="15" t="inlineStr">
        <is>
          <t>RingConn</t>
        </is>
      </c>
      <c r="C6" s="14" t="inlineStr">
        <is>
          <t>中国</t>
        </is>
      </c>
      <c r="D6" s="14" t="inlineStr">
        <is>
          <t>スマートリング</t>
        </is>
      </c>
      <c r="E6" s="14" t="inlineStr">
        <is>
          <t>日本の正規販売代理店あり。Makuakeで約1.43億円</t>
        </is>
      </c>
      <c r="F6" s="16" t="inlineStr">
        <is>
          <t>https://www.makuake.com/project/ringconngen2/</t>
        </is>
      </c>
    </row>
    <row r="7">
      <c r="A7" s="14" t="n">
        <v>4</v>
      </c>
      <c r="B7" s="15" t="inlineStr">
        <is>
          <t>Lumen</t>
        </is>
      </c>
      <c r="C7" s="14" t="inlineStr">
        <is>
          <t>イスラエル</t>
        </is>
      </c>
      <c r="D7" s="14" t="inlineStr">
        <is>
          <t>代謝計測</t>
        </is>
      </c>
      <c r="E7" s="14" t="inlineStr">
        <is>
          <t>キリンが日本展開を発表（2026年9月）。Makuakeで予約販売中</t>
        </is>
      </c>
      <c r="F7" s="16" t="inlineStr">
        <is>
          <t>https://monoist.itmedia.co.jp/mn/articles/2609/16/news041.html</t>
        </is>
      </c>
    </row>
    <row r="8">
      <c r="A8" s="14" t="n">
        <v>5</v>
      </c>
      <c r="B8" s="15" t="inlineStr">
        <is>
          <t>Muse（Interaxon）</t>
        </is>
      </c>
      <c r="C8" s="14" t="inlineStr">
        <is>
          <t>カナダ</t>
        </is>
      </c>
      <c r="D8" s="14" t="inlineStr">
        <is>
          <t>脳波・瞑想</t>
        </is>
      </c>
      <c r="E8" s="14" t="inlineStr">
        <is>
          <t>メディアシークが技適を取得し、2024年4月から販売</t>
        </is>
      </c>
      <c r="F8" s="16" t="inlineStr">
        <is>
          <t>https://www.mediaseek.co.jp/common/wp-content/uploads/2024/04/2024_0408_01.pdf</t>
        </is>
      </c>
    </row>
    <row r="9">
      <c r="A9" s="14" t="n">
        <v>6</v>
      </c>
      <c r="B9" s="15" t="inlineStr">
        <is>
          <t>Core（Hyperice）</t>
        </is>
      </c>
      <c r="C9" s="14" t="inlineStr">
        <is>
          <t>米国</t>
        </is>
      </c>
      <c r="D9" s="14" t="inlineStr">
        <is>
          <t>呼吸・瞑想</t>
        </is>
      </c>
      <c r="E9" s="14" t="inlineStr">
        <is>
          <t>Hypericeブランドとして株式会社ツインズが総販売代理店（2022年6月〜）</t>
        </is>
      </c>
      <c r="F9" s="16" t="inlineStr">
        <is>
          <t>https://www.nikkan.co.jp/releases/view/138994</t>
        </is>
      </c>
    </row>
    <row r="10">
      <c r="A10" s="14" t="n">
        <v>7</v>
      </c>
      <c r="B10" s="15" t="inlineStr">
        <is>
          <t>Speediance</t>
        </is>
      </c>
      <c r="C10" s="14" t="inlineStr">
        <is>
          <t>中国</t>
        </is>
      </c>
      <c r="D10" s="14" t="inlineStr">
        <is>
          <t>フィットネス</t>
        </is>
      </c>
      <c r="E10" s="14" t="inlineStr">
        <is>
          <t>DELTA FITNESS JAPANが日本正規代理店</t>
        </is>
      </c>
      <c r="F10" s="16" t="inlineStr">
        <is>
          <t>https://jp.speediance.com/pages/store</t>
        </is>
      </c>
    </row>
    <row r="11">
      <c r="A11" s="14" t="n">
        <v>8</v>
      </c>
      <c r="B11" s="15" t="inlineStr">
        <is>
          <t>BREO</t>
        </is>
      </c>
      <c r="C11" s="14" t="inlineStr">
        <is>
          <t>中国（深圳）</t>
        </is>
      </c>
      <c r="D11" s="14" t="inlineStr">
        <is>
          <t>目元・頭のマッサージ</t>
        </is>
      </c>
      <c r="E11" s="14" t="inlineStr">
        <is>
          <t>日本法人のブレオジャパン株式会社がある</t>
        </is>
      </c>
      <c r="F11" s="16" t="inlineStr">
        <is>
          <t>https://kakaku.com/item/K0001595144/</t>
        </is>
      </c>
    </row>
    <row r="12">
      <c r="A12" s="14" t="n">
        <v>9</v>
      </c>
      <c r="B12" s="15" t="inlineStr">
        <is>
          <t>SKG</t>
        </is>
      </c>
      <c r="C12" s="14" t="inlineStr">
        <is>
          <t>中国（深圳）</t>
        </is>
      </c>
      <c r="D12" s="14" t="inlineStr">
        <is>
          <t>首のマッサージ（EMS）</t>
        </is>
      </c>
      <c r="E12" s="14" t="inlineStr">
        <is>
          <t>Makuakeに案件あり、楽天・Qoo10で流通</t>
        </is>
      </c>
      <c r="F12" s="16" t="inlineStr">
        <is>
          <t>https://www.makuake.com/project/ems_skg/</t>
        </is>
      </c>
    </row>
    <row r="13">
      <c r="A13" s="14" t="n">
        <v>10</v>
      </c>
      <c r="B13" s="15" t="inlineStr">
        <is>
          <t>Sleepace</t>
        </is>
      </c>
      <c r="C13" s="14" t="inlineStr">
        <is>
          <t>中国（深圳）</t>
        </is>
      </c>
      <c r="D13" s="14" t="inlineStr">
        <is>
          <t>睡眠</t>
        </is>
      </c>
      <c r="E13" s="14" t="inlineStr">
        <is>
          <t>2018年にMakuakeで日本初上陸</t>
        </is>
      </c>
      <c r="F13" s="16" t="inlineStr">
        <is>
          <t>https://www.makuake.com/project/smartsleeplight/</t>
        </is>
      </c>
    </row>
    <row r="14">
      <c r="A14" s="14" t="n">
        <v>11</v>
      </c>
      <c r="B14" s="15" t="inlineStr">
        <is>
          <t>Nuheara</t>
        </is>
      </c>
      <c r="C14" s="14" t="inlineStr">
        <is>
          <t>オーストラリア</t>
        </is>
      </c>
      <c r="D14" s="14" t="inlineStr">
        <is>
          <t>聴こえ</t>
        </is>
      </c>
      <c r="E14" s="14" t="inlineStr">
        <is>
          <t>バリュートレードが日本の代理店。2024年8月に任意管理（経営破綻）入り</t>
        </is>
      </c>
      <c r="F14" s="16" t="inlineStr">
        <is>
          <t>https://audiology-worldnews.com/world-news/market/big-striding-aussie-otc-producer-nuheara-goes-into-voluntary-administration</t>
        </is>
      </c>
    </row>
    <row r="15">
      <c r="A15" s="14" t="n">
        <v>12</v>
      </c>
      <c r="B15" s="15" t="inlineStr">
        <is>
          <t>AliveCor（KardiaMobile）</t>
        </is>
      </c>
      <c r="C15" s="14" t="inlineStr">
        <is>
          <t>米国</t>
        </is>
      </c>
      <c r="D15" s="14" t="inlineStr">
        <is>
          <t>心電図</t>
        </is>
      </c>
      <c r="E15" s="14" t="inlineStr">
        <is>
          <t>オムロンが出資・共同開発。医療機器</t>
        </is>
      </c>
      <c r="F15" s="16" t="inlineStr">
        <is>
          <t>https://kyodonewsprwire.jp/release/201703169964</t>
        </is>
      </c>
    </row>
    <row r="16">
      <c r="A16" s="14" t="n">
        <v>13</v>
      </c>
      <c r="B16" s="15" t="inlineStr">
        <is>
          <t>Flow Neuroscience</t>
        </is>
      </c>
      <c r="C16" s="14" t="inlineStr">
        <is>
          <t>スウェーデン</t>
        </is>
      </c>
      <c r="D16" s="14" t="inlineStr">
        <is>
          <t>うつ病向け脳刺激</t>
        </is>
      </c>
      <c r="E16" s="14" t="inlineStr">
        <is>
          <t>処方用の医療機器。キリンが出資</t>
        </is>
      </c>
      <c r="F16" s="16" t="inlineStr">
        <is>
          <t>https://www.kirinholdings.com/en/newsroom/release/2021/0823_03.html</t>
        </is>
      </c>
    </row>
    <row r="17">
      <c r="A17" s="14" t="n">
        <v>14</v>
      </c>
      <c r="B17" s="15" t="inlineStr">
        <is>
          <t>Moona</t>
        </is>
      </c>
      <c r="C17" s="14" t="inlineStr">
        <is>
          <t>フランス</t>
        </is>
      </c>
      <c r="D17" s="14" t="inlineStr">
        <is>
          <t>睡眠（枕）</t>
        </is>
      </c>
      <c r="E17" s="14" t="inlineStr">
        <is>
          <t>会社が閉鎖</t>
        </is>
      </c>
      <c r="F17" s="16" t="inlineStr">
        <is>
          <t>https://www.nosleeplessnights.com/moona-review/</t>
        </is>
      </c>
    </row>
    <row r="18">
      <c r="A18" s="14" t="n">
        <v>15</v>
      </c>
      <c r="B18" s="15" t="inlineStr">
        <is>
          <t>Kokoon / Philips</t>
        </is>
      </c>
      <c r="C18" s="14" t="inlineStr">
        <is>
          <t>英国</t>
        </is>
      </c>
      <c r="D18" s="14" t="inlineStr">
        <is>
          <t>睡眠イヤホン</t>
        </is>
      </c>
      <c r="E18" s="14" t="inlineStr">
        <is>
          <t>販売終了</t>
        </is>
      </c>
      <c r="F18" s="16" t="inlineStr">
        <is>
          <t>https://www.usa.philips.com/c-p/TAN7808GY_00/sleep-headphones/overview</t>
        </is>
      </c>
    </row>
    <row r="19">
      <c r="A19" s="14" t="n">
        <v>16</v>
      </c>
      <c r="B19" s="15" t="inlineStr">
        <is>
          <t>Movano Evie</t>
        </is>
      </c>
      <c r="C19" s="14" t="inlineStr">
        <is>
          <t>米国</t>
        </is>
      </c>
      <c r="D19" s="14" t="inlineStr">
        <is>
          <t>スマートリング</t>
        </is>
      </c>
      <c r="E19" s="14" t="inlineStr">
        <is>
          <t>2026年4月から新規受注・出荷を停止</t>
        </is>
      </c>
      <c r="F19" s="16" t="inlineStr">
        <is>
          <t>https://frontdeskreview.com/product/smart-rings/movano-evie-ring/</t>
        </is>
      </c>
    </row>
    <row r="20">
      <c r="A20" s="14" t="n">
        <v>17</v>
      </c>
      <c r="B20" s="15" t="inlineStr">
        <is>
          <t>Biostrap</t>
        </is>
      </c>
      <c r="C20" s="14" t="inlineStr">
        <is>
          <t>米国</t>
        </is>
      </c>
      <c r="D20" s="14" t="inlineStr">
        <is>
          <t>健康計測</t>
        </is>
      </c>
      <c r="E20" s="14" t="inlineStr">
        <is>
          <t>一般消費者向けから撤退</t>
        </is>
      </c>
      <c r="F20" s="16" t="inlineStr">
        <is>
          <t>https://longevity.technology/news/wearable-firm-switches-focus-to-enterprise/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サマリー（「候補ブランド」から自動で集計）</t>
        </is>
      </c>
    </row>
    <row r="3">
      <c r="A3" s="17" t="inlineStr">
        <is>
          <t>判定</t>
        </is>
      </c>
      <c r="B3" s="17" t="inlineStr">
        <is>
          <t>社数</t>
        </is>
      </c>
    </row>
    <row r="4">
      <c r="A4" s="18" t="inlineStr">
        <is>
          <t>S</t>
        </is>
      </c>
      <c r="B4" s="18">
        <f>COUNTIF('候補ブランド'!$B$5:$B$41,A4)</f>
        <v/>
      </c>
    </row>
    <row r="5">
      <c r="A5" s="18" t="inlineStr">
        <is>
          <t>A</t>
        </is>
      </c>
      <c r="B5" s="18">
        <f>COUNTIF('候補ブランド'!$B$5:$B$41,A5)</f>
        <v/>
      </c>
    </row>
    <row r="6">
      <c r="A6" s="18" t="inlineStr">
        <is>
          <t>B</t>
        </is>
      </c>
      <c r="B6" s="18">
        <f>COUNTIF('候補ブランド'!$B$5:$B$41,A6)</f>
        <v/>
      </c>
    </row>
    <row r="7">
      <c r="A7" s="18" t="inlineStr">
        <is>
          <t>C</t>
        </is>
      </c>
      <c r="B7" s="18">
        <f>COUNTIF('候補ブランド'!$B$5:$B$41,A7)</f>
        <v/>
      </c>
    </row>
    <row r="8">
      <c r="A8" s="19" t="inlineStr">
        <is>
          <t>候補の合計</t>
        </is>
      </c>
      <c r="B8" s="19">
        <f>SUM(B4:B7)</f>
        <v/>
      </c>
    </row>
    <row r="9">
      <c r="A9" s="18" t="inlineStr">
        <is>
          <t>除外したブランド</t>
        </is>
      </c>
      <c r="B9" s="18">
        <f>COUNTA('除外ブランド'!$B$4:$B$20)</f>
        <v/>
      </c>
    </row>
    <row r="11">
      <c r="A11" s="17" t="inlineStr">
        <is>
          <t>香港展示会で接触できる可能性</t>
        </is>
      </c>
      <c r="B11" s="17" t="inlineStr">
        <is>
          <t>社数</t>
        </is>
      </c>
    </row>
    <row r="12">
      <c r="A12" s="18" t="inlineStr">
        <is>
          <t>高</t>
        </is>
      </c>
      <c r="B12" s="18">
        <f>COUNTIF('候補ブランド'!$M$5:$M$41,"高*")</f>
        <v/>
      </c>
    </row>
    <row r="13">
      <c r="A13" s="18" t="inlineStr">
        <is>
          <t>中</t>
        </is>
      </c>
      <c r="B13" s="18">
        <f>COUNTIF('候補ブランド'!$M$5:$M$41,"中*")</f>
        <v/>
      </c>
    </row>
    <row r="14">
      <c r="A14" s="18" t="inlineStr">
        <is>
          <t>低（展示会外）</t>
        </is>
      </c>
      <c r="B14" s="18">
        <f>COUNTIF('候補ブランド'!$M$5:$M$41,"低*")</f>
        <v/>
      </c>
    </row>
    <row r="16">
      <c r="A16" s="17" t="inlineStr">
        <is>
          <t>日本の規制ハードル</t>
        </is>
      </c>
      <c r="B16" s="17" t="inlineStr">
        <is>
          <t>社数</t>
        </is>
      </c>
    </row>
    <row r="17">
      <c r="A17" s="18" t="inlineStr">
        <is>
          <t>低</t>
        </is>
      </c>
      <c r="B17" s="18">
        <f>COUNTIF('候補ブランド'!$K$5:$K$41,"低：*")</f>
        <v/>
      </c>
    </row>
    <row r="18">
      <c r="A18" s="18" t="inlineStr">
        <is>
          <t>低〜中</t>
        </is>
      </c>
      <c r="B18" s="18">
        <f>COUNTIF('候補ブランド'!$K$5:$K$41,"低〜中*")</f>
        <v/>
      </c>
    </row>
    <row r="19">
      <c r="A19" s="18" t="inlineStr">
        <is>
          <t>中</t>
        </is>
      </c>
      <c r="B19" s="18">
        <f>COUNTIF('候補ブランド'!$K$5:$K$41,"中：*")</f>
        <v/>
      </c>
    </row>
    <row r="20">
      <c r="A20" s="18" t="inlineStr">
        <is>
          <t>中〜高</t>
        </is>
      </c>
      <c r="B20" s="18">
        <f>COUNTIF('候補ブランド'!$K$5:$K$41,"中〜高*")</f>
        <v/>
      </c>
    </row>
    <row r="21">
      <c r="A21" s="18" t="inlineStr">
        <is>
          <t>高</t>
        </is>
      </c>
      <c r="B21" s="18">
        <f>COUNTIF('候補ブランド'!$K$5:$K$41,"高：*")</f>
        <v/>
      </c>
    </row>
    <row r="22">
      <c r="A22" s="18" t="inlineStr">
        <is>
          <t>非常に高</t>
        </is>
      </c>
      <c r="B22" s="18">
        <f>COUNTIF('候補ブランド'!$K$5:$K$41,"非常に高*")</f>
        <v/>
      </c>
    </row>
    <row r="24">
      <c r="A24" s="17" t="inlineStr">
        <is>
          <t>ステータス</t>
        </is>
      </c>
      <c r="B24" s="17" t="inlineStr">
        <is>
          <t>社数</t>
        </is>
      </c>
    </row>
    <row r="25">
      <c r="A25" s="18" t="inlineStr">
        <is>
          <t>未着手</t>
        </is>
      </c>
      <c r="B25" s="18">
        <f>COUNTIF('候補ブランド'!$O$5:$O$41,A25)</f>
        <v/>
      </c>
    </row>
    <row r="26">
      <c r="A26" s="18" t="inlineStr">
        <is>
          <t>アポ打診中</t>
        </is>
      </c>
      <c r="B26" s="18">
        <f>COUNTIF('候補ブランド'!$O$5:$O$41,A26)</f>
        <v/>
      </c>
    </row>
    <row r="27">
      <c r="A27" s="18" t="inlineStr">
        <is>
          <t>面談済</t>
        </is>
      </c>
      <c r="B27" s="18">
        <f>COUNTIF('候補ブランド'!$O$5:$O$41,A27)</f>
        <v/>
      </c>
    </row>
    <row r="28">
      <c r="A28" s="18" t="inlineStr">
        <is>
          <t>資料受領</t>
        </is>
      </c>
      <c r="B28" s="18">
        <f>COUNTIF('候補ブランド'!$O$5:$O$41,A28)</f>
        <v/>
      </c>
    </row>
    <row r="29">
      <c r="A29" s="18" t="inlineStr">
        <is>
          <t>条件交渉中</t>
        </is>
      </c>
      <c r="B29" s="18">
        <f>COUNTIF('候補ブランド'!$O$5:$O$41,A29)</f>
        <v/>
      </c>
    </row>
    <row r="30">
      <c r="A30" s="18" t="inlineStr">
        <is>
          <t>見送り</t>
        </is>
      </c>
      <c r="B30" s="18">
        <f>COUNTIF('候補ブランド'!$O$5:$O$41,A30)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0" t="inlineStr">
        <is>
          <t>調査メモ</t>
        </is>
      </c>
    </row>
    <row r="2">
      <c r="A2" s="21" t="inlineStr">
        <is>
          <t>1. 調査日：2026年10月7日。調査方法はWeb検索（英語・日本語）。Makuake、Amazon.co.jp、hktdc.comなど多くのサイトは調査環境からページを開けなかったため、検索結果をもとに判断しています。</t>
        </is>
      </c>
    </row>
    <row r="3">
      <c r="A3" s="21" t="inlineStr">
        <is>
          <t>2. 「日本の代理店・日本法人・Makuake案件は見つからず」は、見つからなかったという意味で、ないと確定したわけではありません。商談の前にAmazon.co.jpの出品者名、Makuake・GREEN FUNDING・CAMPFIREの過去案件を確認してください。</t>
        </is>
      </c>
    </row>
    <row r="4">
      <c r="A4" s="21" t="inlineStr">
        <is>
          <t>3. 日本のクラファンで500万円を超えたウェルネス系ジャンルの例：スマートリング（RingConn Gen 2：Makuakeで約1.43億円、wena X：GREEN FUNDINGで約6.4億円）、枕（ヒツジのいらない枕：約1.02億円）、EMS（Sweetmyo：4,100万円超）。睡眠イヤホンのADV. Sleeper TWSも大型案件ですが、金額は要確認です。</t>
        </is>
      </c>
    </row>
    <row r="5">
      <c r="A5" s="21" t="inlineStr">
        <is>
          <t>4. 定価目安は1ドル＝150円、1ユーロ＝165円、1豪ドル＝100円で換算した概算です（税・送料・関税は含みません）。</t>
        </is>
      </c>
    </row>
    <row r="6">
      <c r="A6" s="21" t="inlineStr">
        <is>
          <t>5. 規制：無線機器は技適、AC電源の機器・ヒーター・充電器はPSEが必要です。電気刺激（低周波治療器）、補聴器、パルスオキシメーター、家庭用電気マッサージ器は管理医療機器で、認証と製造販売業の許可が必要です。睡眠・ストレスへの効能表現は薬機法・景表法に注意してください。</t>
        </is>
      </c>
    </row>
    <row r="7">
      <c r="A7" s="21" t="inlineStr">
        <is>
          <t>6. 香港展示会（2026年10月13〜16日、香港コンベンション＆エキシビションセンター）：テーマの一つが「Smart Wellness」（デジタルヘルス、ウェアラブル、パーソナルケア、高齢者向けテクノロジー）。2025年の出展者で確認できたウェルネス関連は、Momax（AIスマートリング）とEasenory（テキスタイルセンサー）です。公式の出展者リストでSmart Wellness・Startup・RISE Avenueの各ゾーンを絞り込み、Click2Matchで面談を予約してください。</t>
        </is>
      </c>
    </row>
    <row r="8">
      <c r="A8" s="21" t="inlineStr">
        <is>
          <t>7. 以前の50社リストで「日本に代理店なし」としていた BREO、Speediance、Circular、Lumen、Muse は、今回の調査で日本展開済みとわかったため除外しています。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2026-10-07T08:54:01Z</dcterms:created>
  <dcterms:modified xsi:type="dcterms:W3CDTF">2026-10-07T08:54:01Z</dcterms:modified>
</cp:coreProperties>
</file>