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トップ50リスト" sheetId="1" state="visible" r:id="rId1"/>
    <sheet name="サマリー" sheetId="2" state="visible" r:id="rId2"/>
    <sheet name="前提・注意事項" sheetId="3" state="visible" r:id="rId3"/>
  </sheets>
  <definedNames>
    <definedName name="_xlnm._FilterDatabase" localSheetId="0" hidden="1">'トップ50リスト'!$A$4:$P$54</definedName>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b val="1"/>
      <sz val="10"/>
    </font>
    <font>
      <name val="Arial"/>
      <b val="1"/>
      <color rgb="00FFFFFF"/>
    </font>
    <font>
      <name val="Arial"/>
      <b val="1"/>
    </font>
    <font>
      <name val="Arial"/>
      <color theme="1"/>
    </font>
  </fonts>
  <fills count="7">
    <fill>
      <patternFill/>
    </fill>
    <fill>
      <patternFill patternType="gray125"/>
    </fill>
    <fill>
      <patternFill patternType="solid">
        <fgColor rgb="001F3864"/>
      </patternFill>
    </fill>
    <fill>
      <patternFill patternType="solid">
        <fgColor rgb="00FCE4D6"/>
      </patternFill>
    </fill>
    <fill>
      <patternFill patternType="solid">
        <fgColor rgb="00FFFF00"/>
      </patternFill>
    </fill>
    <fill>
      <patternFill patternType="solid">
        <fgColor rgb="00FFF2CC"/>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3"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164"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6" fillId="2" borderId="1" pivotButton="0" quotePrefix="0" xfId="0"/>
    <xf numFmtId="0" fontId="8" fillId="0" borderId="0" pivotButton="0" quotePrefix="0" xfId="0"/>
    <xf numFmtId="164" fontId="8" fillId="0" borderId="0" pivotButton="0" quotePrefix="0" xfId="0"/>
    <xf numFmtId="0" fontId="7"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22" customWidth="1" min="3" max="3"/>
    <col width="14" customWidth="1" min="4" max="4"/>
    <col width="16" customWidth="1" min="5" max="5"/>
    <col width="22" customWidth="1" min="6" max="6"/>
    <col width="12" customWidth="1" min="7" max="7"/>
    <col width="40" customWidth="1" min="8" max="8"/>
    <col width="32" customWidth="1" min="9" max="9"/>
    <col width="26" customWidth="1" min="10" max="10"/>
    <col width="24" customWidth="1" min="11" max="11"/>
    <col width="44" customWidth="1" min="12" max="12"/>
    <col width="8" customWidth="1" min="13" max="13"/>
    <col width="34" customWidth="1" min="14" max="14"/>
    <col width="12" customWidth="1" min="15" max="15"/>
    <col width="24" customWidth="1" min="16" max="16"/>
  </cols>
  <sheetData>
    <row r="1">
      <c r="A1" s="1" t="inlineStr">
        <is>
          <t>HKTDC香港エレクトロニクス・フェア（秋）2026 — 日本の独占代理店候補 D2Cブランド トップ50</t>
        </is>
      </c>
    </row>
    <row r="2">
      <c r="A2" s="2" t="inlineStr">
        <is>
          <t>条件：Makuake/GREEN FUNDINGで500万円超の実績があるジャンル／定価2万円以上／日本に代理店なし（要確認）／機能で差別化できる／自社ブランド（OEMではない）。※各社の出展状況と代理店の有無は未確認のため、商談の前に必ず確認してください（「前提・注意事項」シート参照）</t>
        </is>
      </c>
    </row>
    <row r="4" ht="32" customHeight="1">
      <c r="A4" s="3" t="inlineStr">
        <is>
          <t>No</t>
        </is>
      </c>
      <c r="B4" s="3" t="inlineStr">
        <is>
          <t>優先度</t>
        </is>
      </c>
      <c r="C4" s="3" t="inlineStr">
        <is>
          <t>ブランド</t>
        </is>
      </c>
      <c r="D4" s="3" t="inlineStr">
        <is>
          <t>本社（国・地域）</t>
        </is>
      </c>
      <c r="E4" s="3" t="inlineStr">
        <is>
          <t>カテゴリ</t>
        </is>
      </c>
      <c r="F4" s="3" t="inlineStr">
        <is>
          <t>主力商品（例）</t>
        </is>
      </c>
      <c r="G4" s="3" t="inlineStr">
        <is>
          <t>定価目安（円）</t>
        </is>
      </c>
      <c r="H4" s="3" t="inlineStr">
        <is>
          <t>機能的な差別化ポイント</t>
        </is>
      </c>
      <c r="I4" s="3" t="inlineStr">
        <is>
          <t>特徴・実績（一言）</t>
        </is>
      </c>
      <c r="J4" s="3" t="inlineStr">
        <is>
          <t>日本の代理店状況（推定）</t>
        </is>
      </c>
      <c r="K4" s="3" t="inlineStr">
        <is>
          <t>香港展示会で接触できる可能性</t>
        </is>
      </c>
      <c r="L4" s="3" t="inlineStr">
        <is>
          <t>日本市場への適合コメント</t>
        </is>
      </c>
      <c r="M4" s="3" t="inlineStr">
        <is>
          <t>日本適合度</t>
        </is>
      </c>
      <c r="N4" s="3" t="inlineStr">
        <is>
          <t>商談で確認すべきこと</t>
        </is>
      </c>
      <c r="O4" s="3" t="inlineStr">
        <is>
          <t>ステータス（記入用）</t>
        </is>
      </c>
      <c r="P4" s="3" t="inlineStr">
        <is>
          <t>メモ（記入用）</t>
        </is>
      </c>
    </row>
    <row r="5">
      <c r="A5" s="4" t="n">
        <v>1</v>
      </c>
      <c r="B5" s="5" t="inlineStr">
        <is>
          <t>S</t>
        </is>
      </c>
      <c r="C5" s="6" t="inlineStr">
        <is>
          <t>Solos（Solos Technology）</t>
        </is>
      </c>
      <c r="D5" s="7" t="inlineStr">
        <is>
          <t>香港</t>
        </is>
      </c>
      <c r="E5" s="7" t="inlineStr">
        <is>
          <t>スマートグラス／AIグラス</t>
        </is>
      </c>
      <c r="F5" s="7" t="inlineStr">
        <is>
          <t>AirGo Vision / AirGo 3</t>
        </is>
      </c>
      <c r="G5" s="8" t="n">
        <v>45000</v>
      </c>
      <c r="H5" s="7" t="inlineStr">
        <is>
          <t>眼鏡型でChatGPT等の音声AI・カメラ・翻訳を統合、フレーム交換で度付き対応</t>
        </is>
      </c>
      <c r="I5" s="7" t="inlineStr">
        <is>
          <t>香港発のスマートグラス専業。音声AIグラスの先行組でCES等の受賞歴</t>
        </is>
      </c>
      <c r="J5" s="7" t="inlineStr">
        <is>
          <t>公式代理店は公開情報で確認できず（要確認）</t>
        </is>
      </c>
      <c r="K5" s="7" t="inlineStr">
        <is>
          <t>高（中華圏ブランド・出展/商談の可能性大）</t>
        </is>
      </c>
      <c r="L5" s="7" t="inlineStr">
        <is>
          <t>Makuakeでスマートグラス/翻訳系は数千万円級の事例が多い王道ジャンル。度付き対応は眼鏡大国の日本で強い訴求点</t>
        </is>
      </c>
      <c r="M5" s="4" t="inlineStr">
        <is>
          <t>◎</t>
        </is>
      </c>
      <c r="N5" s="7" t="inlineStr">
        <is>
          <t>技適取得状況、日本語音声AIの精度、度付きレンズの国内調達スキーム</t>
        </is>
      </c>
      <c r="O5" s="9" t="inlineStr">
        <is>
          <t>未着手</t>
        </is>
      </c>
      <c r="P5" s="10" t="inlineStr"/>
    </row>
    <row r="6">
      <c r="A6" s="4" t="n">
        <v>2</v>
      </c>
      <c r="B6" s="5" t="inlineStr">
        <is>
          <t>S</t>
        </is>
      </c>
      <c r="C6" s="6" t="inlineStr">
        <is>
          <t>Halliday</t>
        </is>
      </c>
      <c r="D6" s="7" t="inlineStr">
        <is>
          <t>中国／米国</t>
        </is>
      </c>
      <c r="E6" s="7" t="inlineStr">
        <is>
          <t>スマートグラス（表示型）</t>
        </is>
      </c>
      <c r="F6" s="7" t="inlineStr">
        <is>
          <t>Halliday AI Glasses</t>
        </is>
      </c>
      <c r="G6" s="8" t="n">
        <v>75000</v>
      </c>
      <c r="H6" s="7" t="inlineStr">
        <is>
          <t>視界に映像を浮かべる超小型ディスプレイ（DigiWindow）で通常眼鏡並みの軽さ、プロアクティブAI</t>
        </is>
      </c>
      <c r="I6" s="7" t="inlineStr">
        <is>
          <t>Kickstarterで数百万ドル規模を調達した注目株</t>
        </is>
      </c>
      <c r="J6" s="7" t="inlineStr">
        <is>
          <t>公式代理店は公開情報で確認できず（要確認）</t>
        </is>
      </c>
      <c r="K6" s="7" t="inlineStr">
        <is>
          <t>中（中華圏に拠点・Click2Matchで要確認）</t>
        </is>
      </c>
      <c r="L6" s="7" t="inlineStr">
        <is>
          <t>見た目が普通の眼鏡に近く、日本の『目立ちたくない』ニーズに合う。翻訳・カンペ用途で訴求しやすい</t>
        </is>
      </c>
      <c r="M6" s="4" t="inlineStr">
        <is>
          <t>◎</t>
        </is>
      </c>
      <c r="N6" s="7" t="inlineStr">
        <is>
          <t>量産・出荷実績、日本語表示/音声対応、独占条件</t>
        </is>
      </c>
      <c r="O6" s="9" t="inlineStr">
        <is>
          <t>未着手</t>
        </is>
      </c>
      <c r="P6" s="10" t="inlineStr"/>
    </row>
    <row r="7">
      <c r="A7" s="4" t="n">
        <v>3</v>
      </c>
      <c r="B7" s="5" t="inlineStr">
        <is>
          <t>S</t>
        </is>
      </c>
      <c r="C7" s="6" t="inlineStr">
        <is>
          <t>Even Realities</t>
        </is>
      </c>
      <c r="D7" s="7" t="inlineStr">
        <is>
          <t>スイス／中国（深圳）</t>
        </is>
      </c>
      <c r="E7" s="7" t="inlineStr">
        <is>
          <t>スマートグラス（表示型）</t>
        </is>
      </c>
      <c r="F7" s="7" t="inlineStr">
        <is>
          <t>Even G1 / G2</t>
        </is>
      </c>
      <c r="G7" s="8" t="n">
        <v>90000</v>
      </c>
      <c r="H7" s="7" t="inlineStr">
        <is>
          <t>度付き対応のHUD眼鏡。カメラ非搭載でプライバシー配慮、テレプロンプター・翻訳・ナビ</t>
        </is>
      </c>
      <c r="I7" s="7" t="inlineStr">
        <is>
          <t>デザインと機能を両立した表示型グラスの代表格。欧米で販売拡大中</t>
        </is>
      </c>
      <c r="J7" s="7" t="inlineStr">
        <is>
          <t>直販中心・日本の正規代理店は未確認（要確認）</t>
        </is>
      </c>
      <c r="K7" s="7" t="inlineStr">
        <is>
          <t>中（中華圏に拠点・Click2Matchで要確認）</t>
        </is>
      </c>
      <c r="L7" s="7" t="inlineStr">
        <is>
          <t>カメラ非搭載は日本の公共空間で受け入れられやすい。高単価でもMakuakeの支援層に刺さる</t>
        </is>
      </c>
      <c r="M7" s="4" t="inlineStr">
        <is>
          <t>◎</t>
        </is>
      </c>
      <c r="N7" s="7" t="inlineStr">
        <is>
          <t>日本直販の有無、度付きレンズ処方の流れ、日本語UI</t>
        </is>
      </c>
      <c r="O7" s="9" t="inlineStr">
        <is>
          <t>未着手</t>
        </is>
      </c>
      <c r="P7" s="10" t="inlineStr"/>
    </row>
    <row r="8">
      <c r="A8" s="4" t="n">
        <v>4</v>
      </c>
      <c r="B8" s="5" t="inlineStr">
        <is>
          <t>S</t>
        </is>
      </c>
      <c r="C8" s="6" t="inlineStr">
        <is>
          <t>Viaim</t>
        </is>
      </c>
      <c r="D8" s="7" t="inlineStr">
        <is>
          <t>中国（深圳）</t>
        </is>
      </c>
      <c r="E8" s="7" t="inlineStr">
        <is>
          <t>AIイヤホン／議事録</t>
        </is>
      </c>
      <c r="F8" s="7" t="inlineStr">
        <is>
          <t>RecDot AIイヤホン</t>
        </is>
      </c>
      <c r="G8" s="8" t="n">
        <v>35000</v>
      </c>
      <c r="H8" s="7" t="inlineStr">
        <is>
          <t>イヤホン単体で通話・対面会話を録音→AIで文字起こし・要約・翻訳</t>
        </is>
      </c>
      <c r="I8" s="7" t="inlineStr">
        <is>
          <t>AI録音デバイスの新興ブランド。イヤホン型で差別化</t>
        </is>
      </c>
      <c r="J8" s="7" t="inlineStr">
        <is>
          <t>公式代理店は公開情報で確認できず（要確認）</t>
        </is>
      </c>
      <c r="K8" s="7" t="inlineStr">
        <is>
          <t>高（中華圏ブランド・出展/商談の可能性大）</t>
        </is>
      </c>
      <c r="L8" s="7" t="inlineStr">
        <is>
          <t>PLAUD等のAIボイスレコーダーが日本で大ヒット＝需要実証済み。イヤホン型は未開拓領域</t>
        </is>
      </c>
      <c r="M8" s="4" t="inlineStr">
        <is>
          <t>◎</t>
        </is>
      </c>
      <c r="N8" s="7" t="inlineStr">
        <is>
          <t>日本語の文字起こし精度、データ保存先（国内法人の懸念）、サブスク料金</t>
        </is>
      </c>
      <c r="O8" s="9" t="inlineStr">
        <is>
          <t>未着手</t>
        </is>
      </c>
      <c r="P8" s="10" t="inlineStr"/>
    </row>
    <row r="9">
      <c r="A9" s="4" t="n">
        <v>5</v>
      </c>
      <c r="B9" s="5" t="inlineStr">
        <is>
          <t>S</t>
        </is>
      </c>
      <c r="C9" s="6" t="inlineStr">
        <is>
          <t>Typhur</t>
        </is>
      </c>
      <c r="D9" s="7" t="inlineStr">
        <is>
          <t>中国（深圳）／米国</t>
        </is>
      </c>
      <c r="E9" s="7" t="inlineStr">
        <is>
          <t>スマート調理家電</t>
        </is>
      </c>
      <c r="F9" s="7" t="inlineStr">
        <is>
          <t>Sync Gold エアフライヤー / Dome</t>
        </is>
      </c>
      <c r="G9" s="8" t="n">
        <v>50000</v>
      </c>
      <c r="H9" s="7" t="inlineStr">
        <is>
          <t>ワイヤレス温度計内蔵で焼き上がりを自動制御、セルフクリーニング機能</t>
        </is>
      </c>
      <c r="I9" s="7" t="inlineStr">
        <is>
          <t>Kickstarterで大型調達、米国Amazonで高評価の調理家電ブランド</t>
        </is>
      </c>
      <c r="J9" s="7" t="inlineStr">
        <is>
          <t>公式代理店は公開情報で確認できず（要確認）</t>
        </is>
      </c>
      <c r="K9" s="7" t="inlineStr">
        <is>
          <t>高（中華圏ブランド・出展/商談の可能性大）</t>
        </is>
      </c>
      <c r="L9" s="7" t="inlineStr">
        <is>
          <t>エアフライヤー・低温調理はMakuake上位常連。『温度計で失敗しない』は日本の料理好きに刺さる</t>
        </is>
      </c>
      <c r="M9" s="4" t="inlineStr">
        <is>
          <t>◎</t>
        </is>
      </c>
      <c r="N9" s="7" t="inlineStr">
        <is>
          <t>100V/PSE対応、日本のキッチンサイズ向けモデル、レシピの日本語化</t>
        </is>
      </c>
      <c r="O9" s="9" t="inlineStr">
        <is>
          <t>未着手</t>
        </is>
      </c>
      <c r="P9" s="10" t="inlineStr"/>
    </row>
    <row r="10">
      <c r="A10" s="4" t="n">
        <v>6</v>
      </c>
      <c r="B10" s="5" t="inlineStr">
        <is>
          <t>S</t>
        </is>
      </c>
      <c r="C10" s="6" t="inlineStr">
        <is>
          <t>xBloom</t>
        </is>
      </c>
      <c r="D10" s="7" t="inlineStr">
        <is>
          <t>香港／中国（深圳）</t>
        </is>
      </c>
      <c r="E10" s="7" t="inlineStr">
        <is>
          <t>コーヒーマシン</t>
        </is>
      </c>
      <c r="F10" s="7" t="inlineStr">
        <is>
          <t>xBloom Studio</t>
        </is>
      </c>
      <c r="G10" s="8" t="n">
        <v>90000</v>
      </c>
      <c r="H10" s="7" t="inlineStr">
        <is>
          <t>豆を挽く→注ぐまで自動のハンドドリップ機。専用ポッドでロースターのレシピを再現</t>
        </is>
      </c>
      <c r="I10" s="7" t="inlineStr">
        <is>
          <t>スペシャルティコーヒー層に人気。世界のロースターと提携</t>
        </is>
      </c>
      <c r="J10" s="7" t="inlineStr">
        <is>
          <t>公式代理店は公開情報で確認できず（要確認）</t>
        </is>
      </c>
      <c r="K10" s="7" t="inlineStr">
        <is>
          <t>高（中華圏ブランド・出展/商談の可能性大）</t>
        </is>
      </c>
      <c r="L10" s="7" t="inlineStr">
        <is>
          <t>日本はハンドドリップ文化が強くコーヒー家電はクラファン上位常連。国内ロースターとの提携モデルが組める</t>
        </is>
      </c>
      <c r="M10" s="4" t="inlineStr">
        <is>
          <t>◎</t>
        </is>
      </c>
      <c r="N10" s="7" t="inlineStr">
        <is>
          <t>PSE、ポッドの国内供給（国内ロースター連携可否）、消耗品の粗利</t>
        </is>
      </c>
      <c r="O10" s="9" t="inlineStr">
        <is>
          <t>未着手</t>
        </is>
      </c>
      <c r="P10" s="10" t="inlineStr"/>
    </row>
    <row r="11">
      <c r="A11" s="4" t="n">
        <v>7</v>
      </c>
      <c r="B11" s="5" t="inlineStr">
        <is>
          <t>S</t>
        </is>
      </c>
      <c r="C11" s="6" t="inlineStr">
        <is>
          <t>Neakasa</t>
        </is>
      </c>
      <c r="D11" s="7" t="inlineStr">
        <is>
          <t>中国（深圳）</t>
        </is>
      </c>
      <c r="E11" s="7" t="inlineStr">
        <is>
          <t>ペットテック</t>
        </is>
      </c>
      <c r="F11" s="7" t="inlineStr">
        <is>
          <t>M1 オープン型自動トイレ</t>
        </is>
      </c>
      <c r="G11" s="8" t="n">
        <v>70000</v>
      </c>
      <c r="H11" s="7" t="inlineStr">
        <is>
          <t>フードなしのオープン型で大型猫も使える自動猫トイレ、アプリで健康記録</t>
        </is>
      </c>
      <c r="I11" s="7" t="inlineStr">
        <is>
          <t>Kickstarterで成功、欧米で販売中のペット家電ブランド</t>
        </is>
      </c>
      <c r="J11" s="7" t="inlineStr">
        <is>
          <t>公式代理店は公開情報で確認できず（要確認）</t>
        </is>
      </c>
      <c r="K11" s="7" t="inlineStr">
        <is>
          <t>高（中華圏ブランド・出展/商談の可能性大）</t>
        </is>
      </c>
      <c r="L11" s="7" t="inlineStr">
        <is>
          <t>猫の自動トイレはMakuakeで数千万円の実績ジャンル。オープン型は猫が嫌がりにくい点が差別化</t>
        </is>
      </c>
      <c r="M11" s="4" t="inlineStr">
        <is>
          <t>◎</t>
        </is>
      </c>
      <c r="N11" s="7" t="inlineStr">
        <is>
          <t>日本の猫砂への対応、PSE、技適、匂い対策データ</t>
        </is>
      </c>
      <c r="O11" s="9" t="inlineStr">
        <is>
          <t>未着手</t>
        </is>
      </c>
      <c r="P11" s="10" t="inlineStr"/>
    </row>
    <row r="12">
      <c r="A12" s="4" t="n">
        <v>8</v>
      </c>
      <c r="B12" s="5" t="inlineStr">
        <is>
          <t>S</t>
        </is>
      </c>
      <c r="C12" s="6" t="inlineStr">
        <is>
          <t>DWARFLAB</t>
        </is>
      </c>
      <c r="D12" s="7" t="inlineStr">
        <is>
          <t>中国（杭州）</t>
        </is>
      </c>
      <c r="E12" s="7" t="inlineStr">
        <is>
          <t>スマート望遠鏡</t>
        </is>
      </c>
      <c r="F12" s="7" t="inlineStr">
        <is>
          <t>DWARF 3</t>
        </is>
      </c>
      <c r="G12" s="8" t="n">
        <v>80000</v>
      </c>
      <c r="H12" s="7" t="inlineStr">
        <is>
          <t>スマホ操作で自動導入・自動撮影する小型天体望遠鏡。望遠/広角2眼</t>
        </is>
      </c>
      <c r="I12" s="7" t="inlineStr">
        <is>
          <t>スマート望遠鏡の普及価格帯を開拓。グローバルでユーザー拡大中</t>
        </is>
      </c>
      <c r="J12" s="7" t="inlineStr">
        <is>
          <t>過去に国内販売事例がある可能性・独占代理店は要確認</t>
        </is>
      </c>
      <c r="K12" s="7" t="inlineStr">
        <is>
          <t>高（中華圏ブランド・出展/商談の可能性大）</t>
        </is>
      </c>
      <c r="L12" s="7" t="inlineStr">
        <is>
          <t>スマート望遠鏡はクラファンで数千万円級の実績ジャンル。光害の多い都市でも楽しめる点が日本向き</t>
        </is>
      </c>
      <c r="M12" s="4" t="inlineStr">
        <is>
          <t>◎</t>
        </is>
      </c>
      <c r="N12" s="7" t="inlineStr">
        <is>
          <t>既存の国内販売店の有無、技適、日本語アプリ</t>
        </is>
      </c>
      <c r="O12" s="9" t="inlineStr">
        <is>
          <t>未着手</t>
        </is>
      </c>
      <c r="P12" s="10" t="inlineStr"/>
    </row>
    <row r="13">
      <c r="A13" s="4" t="n">
        <v>9</v>
      </c>
      <c r="B13" s="5" t="inlineStr">
        <is>
          <t>S</t>
        </is>
      </c>
      <c r="C13" s="6" t="inlineStr">
        <is>
          <t>Loona（KEYi Tech）</t>
        </is>
      </c>
      <c r="D13" s="7" t="inlineStr">
        <is>
          <t>中国（深圳）</t>
        </is>
      </c>
      <c r="E13" s="7" t="inlineStr">
        <is>
          <t>家庭用ロボット</t>
        </is>
      </c>
      <c r="F13" s="7" t="inlineStr">
        <is>
          <t>Loona ペットロボット</t>
        </is>
      </c>
      <c r="G13" s="8" t="n">
        <v>80000</v>
      </c>
      <c r="H13" s="7" t="inlineStr">
        <is>
          <t>生成AIで会話するペットロボット。顔認識・ジェスチャー・遊びモード</t>
        </is>
      </c>
      <c r="I13" s="7" t="inlineStr">
        <is>
          <t>Kickstarterで大型調達、世界で販売実績あり</t>
        </is>
      </c>
      <c r="J13" s="7" t="inlineStr">
        <is>
          <t>日本での販売形態は要確認</t>
        </is>
      </c>
      <c r="K13" s="7" t="inlineStr">
        <is>
          <t>高（中華圏ブランド・出展/商談の可能性大）</t>
        </is>
      </c>
      <c r="L13" s="7" t="inlineStr">
        <is>
          <t>LOVOT・aiboで『ロボットを家族に』市場が日本は確立済み。より手頃な選択肢として訴求可</t>
        </is>
      </c>
      <c r="M13" s="4" t="inlineStr">
        <is>
          <t>◎</t>
        </is>
      </c>
      <c r="N13" s="7" t="inlineStr">
        <is>
          <t>日本語会話対応、技適、サブスク有無、修理体制</t>
        </is>
      </c>
      <c r="O13" s="9" t="inlineStr">
        <is>
          <t>未着手</t>
        </is>
      </c>
      <c r="P13" s="10" t="inlineStr"/>
    </row>
    <row r="14">
      <c r="A14" s="4" t="n">
        <v>10</v>
      </c>
      <c r="B14" s="5" t="inlineStr">
        <is>
          <t>S</t>
        </is>
      </c>
      <c r="C14" s="6" t="inlineStr">
        <is>
          <t>Zero Breeze</t>
        </is>
      </c>
      <c r="D14" s="7" t="inlineStr">
        <is>
          <t>米国／中国</t>
        </is>
      </c>
      <c r="E14" s="7" t="inlineStr">
        <is>
          <t>ポータブルエアコン</t>
        </is>
      </c>
      <c r="F14" s="7" t="inlineStr">
        <is>
          <t>Mark 3</t>
        </is>
      </c>
      <c r="G14" s="8" t="n">
        <v>130000</v>
      </c>
      <c r="H14" s="7" t="inlineStr">
        <is>
          <t>バッテリー駆動で本格冷房できる持ち運び式エアコン</t>
        </is>
      </c>
      <c r="I14" s="7" t="inlineStr">
        <is>
          <t>キャンプ/車中泊向けポータブルエアコンの先駆け。クラファンで実績</t>
        </is>
      </c>
      <c r="J14" s="7" t="inlineStr">
        <is>
          <t>日本での販売形態は要確認</t>
        </is>
      </c>
      <c r="K14" s="7" t="inlineStr">
        <is>
          <t>中（中華圏に拠点・Click2Matchで要確認）</t>
        </is>
      </c>
      <c r="L14" s="7" t="inlineStr">
        <is>
          <t>猛暑と車中泊ブームで日本の需要は大きい。冷却系は毎年Makuake上位</t>
        </is>
      </c>
      <c r="M14" s="4" t="inlineStr">
        <is>
          <t>◎</t>
        </is>
      </c>
      <c r="N14" s="7" t="inlineStr">
        <is>
          <t>PSE・電安法、バッテリーの輸送区分、日本の気候での冷却性能データ</t>
        </is>
      </c>
      <c r="O14" s="9" t="inlineStr">
        <is>
          <t>未着手</t>
        </is>
      </c>
      <c r="P14" s="10" t="inlineStr"/>
    </row>
    <row r="15">
      <c r="A15" s="4" t="n">
        <v>11</v>
      </c>
      <c r="B15" s="5" t="inlineStr">
        <is>
          <t>S</t>
        </is>
      </c>
      <c r="C15" s="6" t="inlineStr">
        <is>
          <t>Ozlo</t>
        </is>
      </c>
      <c r="D15" s="7" t="inlineStr">
        <is>
          <t>米国</t>
        </is>
      </c>
      <c r="E15" s="7" t="inlineStr">
        <is>
          <t>睡眠テック</t>
        </is>
      </c>
      <c r="F15" s="7" t="inlineStr">
        <is>
          <t>Ozlo Sleepbuds</t>
        </is>
      </c>
      <c r="G15" s="8" t="n">
        <v>45000</v>
      </c>
      <c r="H15" s="7" t="inlineStr">
        <is>
          <t>元Bose技術者による就寝用イヤホン。横向き寝でも痛くない形状、睡眠検知</t>
        </is>
      </c>
      <c r="I15" s="7" t="inlineStr">
        <is>
          <t>Bose Sleepbudsの後継的ポジション。米国で高評価</t>
        </is>
      </c>
      <c r="J15" s="7" t="inlineStr">
        <is>
          <t>公式代理店は公開情報で確認できず（要確認）</t>
        </is>
      </c>
      <c r="K15" s="7" t="inlineStr">
        <is>
          <t>低（海外ブランド・展示会外で直接アプローチ）</t>
        </is>
      </c>
      <c r="L15" s="7" t="inlineStr">
        <is>
          <t>睡眠系はMakuakeで大型案件が多い。いびき・騒音対策ニーズが強い日本と相性良</t>
        </is>
      </c>
      <c r="M15" s="4" t="inlineStr">
        <is>
          <t>◎</t>
        </is>
      </c>
      <c r="N15" s="7" t="inlineStr">
        <is>
          <t>技適、日本語アプリ、展示会外でのアプローチ方法</t>
        </is>
      </c>
      <c r="O15" s="9" t="inlineStr">
        <is>
          <t>未着手</t>
        </is>
      </c>
      <c r="P15" s="10" t="inlineStr"/>
    </row>
    <row r="16">
      <c r="A16" s="4" t="n">
        <v>12</v>
      </c>
      <c r="B16" s="5" t="inlineStr">
        <is>
          <t>S</t>
        </is>
      </c>
      <c r="C16" s="6" t="inlineStr">
        <is>
          <t>Elemind</t>
        </is>
      </c>
      <c r="D16" s="7" t="inlineStr">
        <is>
          <t>米国</t>
        </is>
      </c>
      <c r="E16" s="7" t="inlineStr">
        <is>
          <t>睡眠テック（ニューロテック）</t>
        </is>
      </c>
      <c r="F16" s="7" t="inlineStr">
        <is>
          <t>Elemind ヘッドバンド</t>
        </is>
      </c>
      <c r="G16" s="8" t="n">
        <v>55000</v>
      </c>
      <c r="H16" s="7" t="inlineStr">
        <is>
          <t>脳波をリアルタイム計測し音で入眠を促すクローズドループ型</t>
        </is>
      </c>
      <c r="I16" s="7" t="inlineStr">
        <is>
          <t>MIT発のニューロテック企業</t>
        </is>
      </c>
      <c r="J16" s="7" t="inlineStr">
        <is>
          <t>公式代理店は公開情報で確認できず（要確認）</t>
        </is>
      </c>
      <c r="K16" s="7" t="inlineStr">
        <is>
          <t>低（海外ブランド・展示会外で直接アプローチ）</t>
        </is>
      </c>
      <c r="L16" s="7" t="inlineStr">
        <is>
          <t>『寝つきの悪さ』の解決は日本で大きな市場。エビデンスがあるのでクラファンで説明しやすい</t>
        </is>
      </c>
      <c r="M16" s="4" t="inlineStr">
        <is>
          <t>○</t>
        </is>
      </c>
      <c r="N16" s="7" t="inlineStr">
        <is>
          <t>薬機法上の表現（医療機器に該当しない訴求）、技適</t>
        </is>
      </c>
      <c r="O16" s="9" t="inlineStr">
        <is>
          <t>未着手</t>
        </is>
      </c>
      <c r="P16" s="10" t="inlineStr"/>
    </row>
    <row r="17">
      <c r="A17" s="4" t="n">
        <v>13</v>
      </c>
      <c r="B17" s="11" t="inlineStr">
        <is>
          <t>A</t>
        </is>
      </c>
      <c r="C17" s="6" t="inlineStr">
        <is>
          <t>Pebble（Core Devices）</t>
        </is>
      </c>
      <c r="D17" s="7" t="inlineStr">
        <is>
          <t>米国</t>
        </is>
      </c>
      <c r="E17" s="7" t="inlineStr">
        <is>
          <t>スマートウォッチ</t>
        </is>
      </c>
      <c r="F17" s="7" t="inlineStr">
        <is>
          <t>Pebble Time 2 / Pebble 2 Duo</t>
        </is>
      </c>
      <c r="G17" s="8" t="n">
        <v>30000</v>
      </c>
      <c r="H17" s="7" t="inlineStr">
        <is>
          <t>電子ペーパー画面でバッテリー最大約30日、物理ボタン、オープンソース</t>
        </is>
      </c>
      <c r="I17" s="7" t="inlineStr">
        <is>
          <t>伝説のPebbleを創業者が復活させ予約が殺到</t>
        </is>
      </c>
      <c r="J17" s="7" t="inlineStr">
        <is>
          <t>公式代理店は公開情報で確認できず（要確認）</t>
        </is>
      </c>
      <c r="K17" s="7" t="inlineStr">
        <is>
          <t>低（海外ブランド・展示会外で直接アプローチ）</t>
        </is>
      </c>
      <c r="L17" s="7" t="inlineStr">
        <is>
          <t>Apple Watchの充電疲れ層に刺さる。日本にもPebbleの旧ファンが多い</t>
        </is>
      </c>
      <c r="M17" s="4" t="inlineStr">
        <is>
          <t>○</t>
        </is>
      </c>
      <c r="N17" s="7" t="inlineStr">
        <is>
          <t>技適、日本語フォント、供給数の割当</t>
        </is>
      </c>
      <c r="O17" s="9" t="inlineStr">
        <is>
          <t>未着手</t>
        </is>
      </c>
      <c r="P17" s="10" t="inlineStr"/>
    </row>
    <row r="18">
      <c r="A18" s="4" t="n">
        <v>14</v>
      </c>
      <c r="B18" s="11" t="inlineStr">
        <is>
          <t>A</t>
        </is>
      </c>
      <c r="C18" s="6" t="inlineStr">
        <is>
          <t>Brilliant Labs</t>
        </is>
      </c>
      <c r="D18" s="7" t="inlineStr">
        <is>
          <t>シンガポール</t>
        </is>
      </c>
      <c r="E18" s="7" t="inlineStr">
        <is>
          <t>AIグラス</t>
        </is>
      </c>
      <c r="F18" s="7" t="inlineStr">
        <is>
          <t>Frame / Halo</t>
        </is>
      </c>
      <c r="G18" s="8" t="n">
        <v>50000</v>
      </c>
      <c r="H18" s="7" t="inlineStr">
        <is>
          <t>オープンソースのAIグラス。開発者が拡張可能</t>
        </is>
      </c>
      <c r="I18" s="7" t="inlineStr">
        <is>
          <t>ガジェット好き・開発者層に支持</t>
        </is>
      </c>
      <c r="J18" s="7" t="inlineStr">
        <is>
          <t>公式代理店は公開情報で確認できず（要確認）</t>
        </is>
      </c>
      <c r="K18" s="7" t="inlineStr">
        <is>
          <t>中（中華圏に拠点・Click2Matchで要確認）</t>
        </is>
      </c>
      <c r="L18" s="7" t="inlineStr">
        <is>
          <t>ガジェット好きのMakuake支援層向け。一般向けにはやや尖る</t>
        </is>
      </c>
      <c r="M18" s="4" t="inlineStr">
        <is>
          <t>○</t>
        </is>
      </c>
      <c r="N18" s="7" t="inlineStr">
        <is>
          <t>技適、一般ユーザー向けの使い勝手</t>
        </is>
      </c>
      <c r="O18" s="9" t="inlineStr">
        <is>
          <t>未着手</t>
        </is>
      </c>
      <c r="P18" s="10" t="inlineStr"/>
    </row>
    <row r="19">
      <c r="A19" s="4" t="n">
        <v>15</v>
      </c>
      <c r="B19" s="11" t="inlineStr">
        <is>
          <t>A</t>
        </is>
      </c>
      <c r="C19" s="6" t="inlineStr">
        <is>
          <t>Vasco Electronics</t>
        </is>
      </c>
      <c r="D19" s="7" t="inlineStr">
        <is>
          <t>ポーランド</t>
        </is>
      </c>
      <c r="E19" s="7" t="inlineStr">
        <is>
          <t>翻訳機</t>
        </is>
      </c>
      <c r="F19" s="7" t="inlineStr">
        <is>
          <t>Vasco Translator V4</t>
        </is>
      </c>
      <c r="G19" s="8" t="n">
        <v>60000</v>
      </c>
      <c r="H19" s="7" t="inlineStr">
        <is>
          <t>世界中でネット通信費が永年無料のSIM内蔵翻訳機</t>
        </is>
      </c>
      <c r="I19" s="7" t="inlineStr">
        <is>
          <t>欧州で翻訳機の大手</t>
        </is>
      </c>
      <c r="J19" s="7" t="inlineStr">
        <is>
          <t>公式代理店は公開情報で確認できず（要確認）</t>
        </is>
      </c>
      <c r="K19" s="7" t="inlineStr">
        <is>
          <t>低（海外ブランド・展示会外で直接アプローチ）</t>
        </is>
      </c>
      <c r="L19" s="7" t="inlineStr">
        <is>
          <t>インバウンド・海外旅行需要あり。ただしポケトークと直接競合</t>
        </is>
      </c>
      <c r="M19" s="4" t="inlineStr">
        <is>
          <t>△</t>
        </is>
      </c>
      <c r="N19" s="7" t="inlineStr">
        <is>
          <t>ポケトークとの差（通信永年無料）、技適、日本語音声品質</t>
        </is>
      </c>
      <c r="O19" s="9" t="inlineStr">
        <is>
          <t>未着手</t>
        </is>
      </c>
      <c r="P19" s="10" t="inlineStr"/>
    </row>
    <row r="20">
      <c r="A20" s="4" t="n">
        <v>16</v>
      </c>
      <c r="B20" s="11" t="inlineStr">
        <is>
          <t>A</t>
        </is>
      </c>
      <c r="C20" s="6" t="inlineStr">
        <is>
          <t>Mobile Pixels</t>
        </is>
      </c>
      <c r="D20" s="7" t="inlineStr">
        <is>
          <t>米国</t>
        </is>
      </c>
      <c r="E20" s="7" t="inlineStr">
        <is>
          <t>ノートPC用モニター</t>
        </is>
      </c>
      <c r="F20" s="7" t="inlineStr">
        <is>
          <t>DUEX / TRIO</t>
        </is>
      </c>
      <c r="G20" s="8" t="n">
        <v>45000</v>
      </c>
      <c r="H20" s="7" t="inlineStr">
        <is>
          <t>ノートPCに取り付けるスライド式の追加モニター</t>
        </is>
      </c>
      <c r="I20" s="7" t="inlineStr">
        <is>
          <t>Indiegogoで大型調達の実績</t>
        </is>
      </c>
      <c r="J20" s="7" t="inlineStr">
        <is>
          <t>Amazon等で直販/並行品あり・正規代理店は未確認（要確認）</t>
        </is>
      </c>
      <c r="K20" s="7" t="inlineStr">
        <is>
          <t>低（海外ブランド・展示会外で直接アプローチ）</t>
        </is>
      </c>
      <c r="L20" s="7" t="inlineStr">
        <is>
          <t>テレワーク・副業需要に合う。デスクの狭い日本向き</t>
        </is>
      </c>
      <c r="M20" s="4" t="inlineStr">
        <is>
          <t>○</t>
        </is>
      </c>
      <c r="N20" s="7" t="inlineStr">
        <is>
          <t>既存の並行流通の状況、PSE（ACアダプタ）</t>
        </is>
      </c>
      <c r="O20" s="9" t="inlineStr">
        <is>
          <t>未着手</t>
        </is>
      </c>
      <c r="P20" s="10" t="inlineStr"/>
    </row>
    <row r="21">
      <c r="A21" s="4" t="n">
        <v>17</v>
      </c>
      <c r="B21" s="11" t="inlineStr">
        <is>
          <t>A</t>
        </is>
      </c>
      <c r="C21" s="6" t="inlineStr">
        <is>
          <t>Espresso Displays</t>
        </is>
      </c>
      <c r="D21" s="7" t="inlineStr">
        <is>
          <t>オーストラリア</t>
        </is>
      </c>
      <c r="E21" s="7" t="inlineStr">
        <is>
          <t>ポータブルモニター</t>
        </is>
      </c>
      <c r="F21" s="7" t="inlineStr">
        <is>
          <t>espresso 15 Pro</t>
        </is>
      </c>
      <c r="G21" s="8" t="n">
        <v>90000</v>
      </c>
      <c r="H21" s="7" t="inlineStr">
        <is>
          <t>超薄型タッチ対応モバイルモニター、磁石スタンド・ペン対応</t>
        </is>
      </c>
      <c r="I21" s="7" t="inlineStr">
        <is>
          <t>Apple Store（一部地域）で取り扱い実績のあるプレミアムブランド</t>
        </is>
      </c>
      <c r="J21" s="7" t="inlineStr">
        <is>
          <t>公式代理店は公開情報で確認できず（要確認）</t>
        </is>
      </c>
      <c r="K21" s="7" t="inlineStr">
        <is>
          <t>低（海外ブランド・展示会外で直接アプローチ）</t>
        </is>
      </c>
      <c r="L21" s="7" t="inlineStr">
        <is>
          <t>高単価だが品質重視のクリエイター層に響く</t>
        </is>
      </c>
      <c r="M21" s="4" t="inlineStr">
        <is>
          <t>○</t>
        </is>
      </c>
      <c r="N21" s="7" t="inlineStr">
        <is>
          <t>日本での価格競争力、Mac連携機能</t>
        </is>
      </c>
      <c r="O21" s="9" t="inlineStr">
        <is>
          <t>未着手</t>
        </is>
      </c>
      <c r="P21" s="10" t="inlineStr"/>
    </row>
    <row r="22">
      <c r="A22" s="4" t="n">
        <v>18</v>
      </c>
      <c r="B22" s="11" t="inlineStr">
        <is>
          <t>A</t>
        </is>
      </c>
      <c r="C22" s="6" t="inlineStr">
        <is>
          <t>BIGME</t>
        </is>
      </c>
      <c r="D22" s="7" t="inlineStr">
        <is>
          <t>中国（深圳）</t>
        </is>
      </c>
      <c r="E22" s="7" t="inlineStr">
        <is>
          <t>電子ペーパー端末</t>
        </is>
      </c>
      <c r="F22" s="7" t="inlineStr">
        <is>
          <t>InkNote Color+ / HiBreak</t>
        </is>
      </c>
      <c r="G22" s="8" t="n">
        <v>70000</v>
      </c>
      <c r="H22" s="7" t="inlineStr">
        <is>
          <t>カラー電子ペーパーのAndroidタブレット・スマホ</t>
        </is>
      </c>
      <c r="I22" s="7" t="inlineStr">
        <is>
          <t>カラーE-inkで製品展開が早いメーカー</t>
        </is>
      </c>
      <c r="J22" s="7" t="inlineStr">
        <is>
          <t>Amazon等で直販/並行品あり・正規代理店は未確認（要確認）</t>
        </is>
      </c>
      <c r="K22" s="7" t="inlineStr">
        <is>
          <t>高（中華圏ブランド・出展/商談の可能性大）</t>
        </is>
      </c>
      <c r="L22" s="7" t="inlineStr">
        <is>
          <t>目に優しい端末は読書・手書き需要あり。BOOX（国内代理店あり）との差別化が必要</t>
        </is>
      </c>
      <c r="M22" s="4" t="inlineStr">
        <is>
          <t>○</t>
        </is>
      </c>
      <c r="N22" s="7" t="inlineStr">
        <is>
          <t>技適、BOOXとの比較、日本語手書き認識</t>
        </is>
      </c>
      <c r="O22" s="9" t="inlineStr">
        <is>
          <t>未着手</t>
        </is>
      </c>
      <c r="P22" s="10" t="inlineStr"/>
    </row>
    <row r="23">
      <c r="A23" s="4" t="n">
        <v>19</v>
      </c>
      <c r="B23" s="11" t="inlineStr">
        <is>
          <t>A</t>
        </is>
      </c>
      <c r="C23" s="6" t="inlineStr">
        <is>
          <t>Daylight Computer</t>
        </is>
      </c>
      <c r="D23" s="7" t="inlineStr">
        <is>
          <t>米国</t>
        </is>
      </c>
      <c r="E23" s="7" t="inlineStr">
        <is>
          <t>タブレット</t>
        </is>
      </c>
      <c r="F23" s="7" t="inlineStr">
        <is>
          <t>DC-1（Live Paper）</t>
        </is>
      </c>
      <c r="G23" s="8" t="n">
        <v>110000</v>
      </c>
      <c r="H23" s="7" t="inlineStr">
        <is>
          <t>60Hzで動くブルーライトの少ない反射型液晶（Live Paper）。屋外でも見やすい</t>
        </is>
      </c>
      <c r="I23" s="7" t="inlineStr">
        <is>
          <t>新しいディスプレイ技術で話題、予約待ちが発生</t>
        </is>
      </c>
      <c r="J23" s="7" t="inlineStr">
        <is>
          <t>公式代理店は公開情報で確認できず（要確認）</t>
        </is>
      </c>
      <c r="K23" s="7" t="inlineStr">
        <is>
          <t>低（海外ブランド・展示会外で直接アプローチ）</t>
        </is>
      </c>
      <c r="L23" s="7" t="inlineStr">
        <is>
          <t>目の疲れ対策・集中用途として日本でも話題化しやすい</t>
        </is>
      </c>
      <c r="M23" s="4" t="inlineStr">
        <is>
          <t>○</t>
        </is>
      </c>
      <c r="N23" s="7" t="inlineStr">
        <is>
          <t>供給量、技適、日本語入力</t>
        </is>
      </c>
      <c r="O23" s="9" t="inlineStr">
        <is>
          <t>未着手</t>
        </is>
      </c>
      <c r="P23" s="10" t="inlineStr"/>
    </row>
    <row r="24">
      <c r="A24" s="4" t="n">
        <v>20</v>
      </c>
      <c r="B24" s="11" t="inlineStr">
        <is>
          <t>A</t>
        </is>
      </c>
      <c r="C24" s="6" t="inlineStr">
        <is>
          <t>Supernote（Ratta）</t>
        </is>
      </c>
      <c r="D24" s="7" t="inlineStr">
        <is>
          <t>中国（広州）</t>
        </is>
      </c>
      <c r="E24" s="7" t="inlineStr">
        <is>
          <t>電子ペーパーノート</t>
        </is>
      </c>
      <c r="F24" s="7" t="inlineStr">
        <is>
          <t>Supernote Manta / Nomad</t>
        </is>
      </c>
      <c r="G24" s="8" t="n">
        <v>65000</v>
      </c>
      <c r="H24" s="7" t="inlineStr">
        <is>
          <t>紙に近い書き心地の手書き専用電子ノート、プライバシー重視</t>
        </is>
      </c>
      <c r="I24" s="7" t="inlineStr">
        <is>
          <t>手書き層から熱心な支持</t>
        </is>
      </c>
      <c r="J24" s="7" t="inlineStr">
        <is>
          <t>Amazon等で直販/並行品あり・正規代理店は未確認（要確認）</t>
        </is>
      </c>
      <c r="K24" s="7" t="inlineStr">
        <is>
          <t>中（中華圏に拠点・Click2Matchで要確認）</t>
        </is>
      </c>
      <c r="L24" s="7" t="inlineStr">
        <is>
          <t>日本は手書き・文具の文化が強く相性良。reMarkableの対抗馬</t>
        </is>
      </c>
      <c r="M24" s="4" t="inlineStr">
        <is>
          <t>○</t>
        </is>
      </c>
      <c r="N24" s="7" t="inlineStr">
        <is>
          <t>正規流通の有無、日本語手書き認識</t>
        </is>
      </c>
      <c r="O24" s="9" t="inlineStr">
        <is>
          <t>未着手</t>
        </is>
      </c>
      <c r="P24" s="10" t="inlineStr"/>
    </row>
    <row r="25">
      <c r="A25" s="4" t="n">
        <v>21</v>
      </c>
      <c r="B25" s="11" t="inlineStr">
        <is>
          <t>A</t>
        </is>
      </c>
      <c r="C25" s="6" t="inlineStr">
        <is>
          <t>Outin</t>
        </is>
      </c>
      <c r="D25" s="7" t="inlineStr">
        <is>
          <t>中国（深圳）</t>
        </is>
      </c>
      <c r="E25" s="7" t="inlineStr">
        <is>
          <t>ポータブルコーヒー</t>
        </is>
      </c>
      <c r="F25" s="7" t="inlineStr">
        <is>
          <t>Outin Nano</t>
        </is>
      </c>
      <c r="G25" s="8" t="n">
        <v>22000</v>
      </c>
      <c r="H25" s="7" t="inlineStr">
        <is>
          <t>自分でお湯を沸かす（自己加熱式）充電式ポータブルエスプレッソ</t>
        </is>
      </c>
      <c r="I25" s="7" t="inlineStr">
        <is>
          <t>Amazonで高評価のアウトドア系コーヒーブランド</t>
        </is>
      </c>
      <c r="J25" s="7" t="inlineStr">
        <is>
          <t>Amazon等で直販/並行品あり・正規代理店は未確認（要確認）</t>
        </is>
      </c>
      <c r="K25" s="7" t="inlineStr">
        <is>
          <t>高（中華圏ブランド・出展/商談の可能性大）</t>
        </is>
      </c>
      <c r="L25" s="7" t="inlineStr">
        <is>
          <t>キャンプ・車中泊需要。単価は2万円ラインぎりぎり</t>
        </is>
      </c>
      <c r="M25" s="4" t="inlineStr">
        <is>
          <t>○</t>
        </is>
      </c>
      <c r="N25" s="7" t="inlineStr">
        <is>
          <t>PSE、上位モデルの単価、並行流通</t>
        </is>
      </c>
      <c r="O25" s="9" t="inlineStr">
        <is>
          <t>未着手</t>
        </is>
      </c>
      <c r="P25" s="10" t="inlineStr"/>
    </row>
    <row r="26">
      <c r="A26" s="4" t="n">
        <v>22</v>
      </c>
      <c r="B26" s="11" t="inlineStr">
        <is>
          <t>A</t>
        </is>
      </c>
      <c r="C26" s="6" t="inlineStr">
        <is>
          <t>Speediance</t>
        </is>
      </c>
      <c r="D26" s="7" t="inlineStr">
        <is>
          <t>中国（上海）</t>
        </is>
      </c>
      <c r="E26" s="7" t="inlineStr">
        <is>
          <t>ホームジム</t>
        </is>
      </c>
      <c r="F26" s="7" t="inlineStr">
        <is>
          <t>Gym Monster 2</t>
        </is>
      </c>
      <c r="G26" s="8" t="n">
        <v>350000</v>
      </c>
      <c r="H26" s="7" t="inlineStr">
        <is>
          <t>折りたたみ式で電子制御の負荷をかけるオールインワン筋トレ機</t>
        </is>
      </c>
      <c r="I26" s="7" t="inlineStr">
        <is>
          <t>Kickstarterで大型調達、欧米でスマートジム上位</t>
        </is>
      </c>
      <c r="J26" s="7" t="inlineStr">
        <is>
          <t>公式代理店は公開情報で確認できず（要確認）</t>
        </is>
      </c>
      <c r="K26" s="7" t="inlineStr">
        <is>
          <t>高（中華圏ブランド・出展/商談の可能性大）</t>
        </is>
      </c>
      <c r="L26" s="7" t="inlineStr">
        <is>
          <t>高単価・大型で日本の住宅には課題。ただし宅トレ需要とB2B（パーソナルジム）向けに可能性</t>
        </is>
      </c>
      <c r="M26" s="4" t="inlineStr">
        <is>
          <t>○</t>
        </is>
      </c>
      <c r="N26" s="7" t="inlineStr">
        <is>
          <t>重量・サイズ、100V、設置・保守の体制</t>
        </is>
      </c>
      <c r="O26" s="9" t="inlineStr">
        <is>
          <t>未着手</t>
        </is>
      </c>
      <c r="P26" s="10" t="inlineStr"/>
    </row>
    <row r="27">
      <c r="A27" s="4" t="n">
        <v>23</v>
      </c>
      <c r="B27" s="11" t="inlineStr">
        <is>
          <t>A</t>
        </is>
      </c>
      <c r="C27" s="6" t="inlineStr">
        <is>
          <t>Urtopia</t>
        </is>
      </c>
      <c r="D27" s="7" t="inlineStr">
        <is>
          <t>中国</t>
        </is>
      </c>
      <c r="E27" s="7" t="inlineStr">
        <is>
          <t>スマートe-bike</t>
        </is>
      </c>
      <c r="F27" s="7" t="inlineStr">
        <is>
          <t>Carbon 1 / Carbon Fusion</t>
        </is>
      </c>
      <c r="G27" s="8" t="n">
        <v>300000</v>
      </c>
      <c r="H27" s="7" t="inlineStr">
        <is>
          <t>カーボン一体の軽量電動アシスト自転車。スマートハンドル・音声操作</t>
        </is>
      </c>
      <c r="I27" s="7" t="inlineStr">
        <is>
          <t>CESでの受賞、クラファンで成功</t>
        </is>
      </c>
      <c r="J27" s="7" t="inlineStr">
        <is>
          <t>公式代理店は公開情報で確認できず（要確認）</t>
        </is>
      </c>
      <c r="K27" s="7" t="inlineStr">
        <is>
          <t>中（中華圏に拠点・Click2Matchで要確認）</t>
        </is>
      </c>
      <c r="L27" s="7" t="inlineStr">
        <is>
          <t>e-bikeはMakuake上位ジャンル。ただし日本の電動アシスト基準（型式認定）対応が必須</t>
        </is>
      </c>
      <c r="M27" s="4" t="inlineStr">
        <is>
          <t>○</t>
        </is>
      </c>
      <c r="N27" s="7" t="inlineStr">
        <is>
          <t>日本基準（アシスト比率・24km/h）向けモデル、型式認定、整備網</t>
        </is>
      </c>
      <c r="O27" s="9" t="inlineStr">
        <is>
          <t>未着手</t>
        </is>
      </c>
      <c r="P27" s="10" t="inlineStr"/>
    </row>
    <row r="28">
      <c r="A28" s="4" t="n">
        <v>24</v>
      </c>
      <c r="B28" s="11" t="inlineStr">
        <is>
          <t>A</t>
        </is>
      </c>
      <c r="C28" s="6" t="inlineStr">
        <is>
          <t>LOCKLY</t>
        </is>
      </c>
      <c r="D28" s="7" t="inlineStr">
        <is>
          <t>香港／米国</t>
        </is>
      </c>
      <c r="E28" s="7" t="inlineStr">
        <is>
          <t>スマートロック</t>
        </is>
      </c>
      <c r="F28" s="7" t="inlineStr">
        <is>
          <t>Lockly Vision / Secure Pro</t>
        </is>
      </c>
      <c r="G28" s="8" t="n">
        <v>40000</v>
      </c>
      <c r="H28" s="7" t="inlineStr">
        <is>
          <t>表示位置が毎回変わる暗証番号（PIN Genie特許）、3D指紋認証</t>
        </is>
      </c>
      <c r="I28" s="7" t="inlineStr">
        <is>
          <t>香港発、欧米の家電量販で販売</t>
        </is>
      </c>
      <c r="J28" s="7" t="inlineStr">
        <is>
          <t>公式代理店は公開情報で確認できず（要確認）</t>
        </is>
      </c>
      <c r="K28" s="7" t="inlineStr">
        <is>
          <t>高（中華圏ブランド・出展/商談の可能性大）</t>
        </is>
      </c>
      <c r="L28" s="7" t="inlineStr">
        <is>
          <t>スマートロックの需要は伸びているが、日本のドア形状（2ロック・厚み）への適合が鍵</t>
        </is>
      </c>
      <c r="M28" s="4" t="inlineStr">
        <is>
          <t>○</t>
        </is>
      </c>
      <c r="N28" s="7" t="inlineStr">
        <is>
          <t>日本のドア・錠前への取り付け対応、技適</t>
        </is>
      </c>
      <c r="O28" s="9" t="inlineStr">
        <is>
          <t>未着手</t>
        </is>
      </c>
      <c r="P28" s="10" t="inlineStr"/>
    </row>
    <row r="29">
      <c r="A29" s="4" t="n">
        <v>25</v>
      </c>
      <c r="B29" s="11" t="inlineStr">
        <is>
          <t>A</t>
        </is>
      </c>
      <c r="C29" s="6" t="inlineStr">
        <is>
          <t>Ultraloq（U-tec）</t>
        </is>
      </c>
      <c r="D29" s="7" t="inlineStr">
        <is>
          <t>米国／中国（深圳）</t>
        </is>
      </c>
      <c r="E29" s="7" t="inlineStr">
        <is>
          <t>スマートロック</t>
        </is>
      </c>
      <c r="F29" s="7" t="inlineStr">
        <is>
          <t>U-Bolt Pro WiFi</t>
        </is>
      </c>
      <c r="G29" s="8" t="n">
        <v>35000</v>
      </c>
      <c r="H29" s="7" t="inlineStr">
        <is>
          <t>指紋・暗証番号・アプリ・Matterに対応したデッドボルト</t>
        </is>
      </c>
      <c r="I29" s="7" t="inlineStr">
        <is>
          <t>米国Amazonで上位のスマートロック</t>
        </is>
      </c>
      <c r="J29" s="7" t="inlineStr">
        <is>
          <t>公式代理店は公開情報で確認できず（要確認）</t>
        </is>
      </c>
      <c r="K29" s="7" t="inlineStr">
        <is>
          <t>中（中華圏に拠点・Click2Matchで要確認）</t>
        </is>
      </c>
      <c r="L29" s="7" t="inlineStr">
        <is>
          <t>機能は強いが、日本のドアへの適合でSwitchBot等に苦戦する可能性</t>
        </is>
      </c>
      <c r="M29" s="4" t="inlineStr">
        <is>
          <t>△</t>
        </is>
      </c>
      <c r="N29" s="7" t="inlineStr">
        <is>
          <t>日本の錠前規格への適合、Matter対応の訴求</t>
        </is>
      </c>
      <c r="O29" s="9" t="inlineStr">
        <is>
          <t>未着手</t>
        </is>
      </c>
      <c r="P29" s="10" t="inlineStr"/>
    </row>
    <row r="30">
      <c r="A30" s="4" t="n">
        <v>26</v>
      </c>
      <c r="B30" s="11" t="inlineStr">
        <is>
          <t>A</t>
        </is>
      </c>
      <c r="C30" s="6" t="inlineStr">
        <is>
          <t>Dabbsson</t>
        </is>
      </c>
      <c r="D30" s="7" t="inlineStr">
        <is>
          <t>中国（深圳）</t>
        </is>
      </c>
      <c r="E30" s="7" t="inlineStr">
        <is>
          <t>ポータブル電源</t>
        </is>
      </c>
      <c r="F30" s="7" t="inlineStr">
        <is>
          <t>DBS2300 / DBS3000B</t>
        </is>
      </c>
      <c r="G30" s="8" t="n">
        <v>200000</v>
      </c>
      <c r="H30" s="7" t="inlineStr">
        <is>
          <t>半固体電池を採用し、安全性と寿命を訴求</t>
        </is>
      </c>
      <c r="I30" s="7" t="inlineStr">
        <is>
          <t>半固体電池のポータブル電源を先行して展開</t>
        </is>
      </c>
      <c r="J30" s="7" t="inlineStr">
        <is>
          <t>Amazon等で直販/並行品あり・正規代理店は未確認（要確認）</t>
        </is>
      </c>
      <c r="K30" s="7" t="inlineStr">
        <is>
          <t>高（中華圏ブランド・出展/商談の可能性大）</t>
        </is>
      </c>
      <c r="L30" s="7" t="inlineStr">
        <is>
          <t>ポータブル電源はMakuakeの最大級ジャンル。半固体電池の安全性は防災需要の強い日本で訴求しやすい</t>
        </is>
      </c>
      <c r="M30" s="4" t="inlineStr">
        <is>
          <t>○</t>
        </is>
      </c>
      <c r="N30" s="7" t="inlineStr">
        <is>
          <t>PSE・電安法、既存の国内流通、EcoFlow/Jackeryとの比較</t>
        </is>
      </c>
      <c r="O30" s="9" t="inlineStr">
        <is>
          <t>未着手</t>
        </is>
      </c>
      <c r="P30" s="10" t="inlineStr"/>
    </row>
    <row r="31">
      <c r="A31" s="4" t="n">
        <v>27</v>
      </c>
      <c r="B31" s="11" t="inlineStr">
        <is>
          <t>A</t>
        </is>
      </c>
      <c r="C31" s="6" t="inlineStr">
        <is>
          <t>Orka</t>
        </is>
      </c>
      <c r="D31" s="7" t="inlineStr">
        <is>
          <t>米国／中国</t>
        </is>
      </c>
      <c r="E31" s="7" t="inlineStr">
        <is>
          <t>補聴器・ヒアラブル</t>
        </is>
      </c>
      <c r="F31" s="7" t="inlineStr">
        <is>
          <t>Orka Two</t>
        </is>
      </c>
      <c r="G31" s="8" t="n">
        <v>60000</v>
      </c>
      <c r="H31" s="7" t="inlineStr">
        <is>
          <t>AIで雑音を抑えるイヤホン型の補聴器</t>
        </is>
      </c>
      <c r="I31" s="7" t="inlineStr">
        <is>
          <t>OTC補聴器の新興ブランド</t>
        </is>
      </c>
      <c r="J31" s="7" t="inlineStr">
        <is>
          <t>公式代理店は公開情報で確認できず（要確認）</t>
        </is>
      </c>
      <c r="K31" s="7" t="inlineStr">
        <is>
          <t>中（中華圏に拠点・Click2Matchで要確認）</t>
        </is>
      </c>
      <c r="L31" s="7" t="inlineStr">
        <is>
          <t>難聴市場は大きいが、補聴器は日本では医療機器（薬機法）。『集音器』として出すか承認を取るかの判断が必要</t>
        </is>
      </c>
      <c r="M31" s="4" t="inlineStr">
        <is>
          <t>△</t>
        </is>
      </c>
      <c r="N31" s="7" t="inlineStr">
        <is>
          <t>薬機法上の区分、集音器モデルの有無</t>
        </is>
      </c>
      <c r="O31" s="9" t="inlineStr">
        <is>
          <t>未着手</t>
        </is>
      </c>
      <c r="P31" s="10" t="inlineStr"/>
    </row>
    <row r="32">
      <c r="A32" s="4" t="n">
        <v>28</v>
      </c>
      <c r="B32" s="11" t="inlineStr">
        <is>
          <t>A</t>
        </is>
      </c>
      <c r="C32" s="6" t="inlineStr">
        <is>
          <t>Lumen</t>
        </is>
      </c>
      <c r="D32" s="7" t="inlineStr">
        <is>
          <t>イスラエル</t>
        </is>
      </c>
      <c r="E32" s="7" t="inlineStr">
        <is>
          <t>ヘルステック</t>
        </is>
      </c>
      <c r="F32" s="7" t="inlineStr">
        <is>
          <t>Lumen 3</t>
        </is>
      </c>
      <c r="G32" s="8" t="n">
        <v>45000</v>
      </c>
      <c r="H32" s="7" t="inlineStr">
        <is>
          <t>呼気から代謝状態（糖質か脂質か）を測るデバイス</t>
        </is>
      </c>
      <c r="I32" s="7" t="inlineStr">
        <is>
          <t>世界で多くのユーザー</t>
        </is>
      </c>
      <c r="J32" s="7" t="inlineStr">
        <is>
          <t>公式代理店は公開情報で確認できず（要確認）</t>
        </is>
      </c>
      <c r="K32" s="7" t="inlineStr">
        <is>
          <t>低（海外ブランド・展示会外で直接アプローチ）</t>
        </is>
      </c>
      <c r="L32" s="7" t="inlineStr">
        <is>
          <t>ダイエット・健康意識の高い日本で話題化しやすい。サブスク込みのモデル</t>
        </is>
      </c>
      <c r="M32" s="4" t="inlineStr">
        <is>
          <t>○</t>
        </is>
      </c>
      <c r="N32" s="7" t="inlineStr">
        <is>
          <t>薬機法表現、サブスクの日本価格、日本食データ</t>
        </is>
      </c>
      <c r="O32" s="9" t="inlineStr">
        <is>
          <t>未着手</t>
        </is>
      </c>
      <c r="P32" s="10" t="inlineStr"/>
    </row>
    <row r="33">
      <c r="A33" s="4" t="n">
        <v>29</v>
      </c>
      <c r="B33" s="11" t="inlineStr">
        <is>
          <t>A</t>
        </is>
      </c>
      <c r="C33" s="6" t="inlineStr">
        <is>
          <t>Muse（Interaxon）</t>
        </is>
      </c>
      <c r="D33" s="7" t="inlineStr">
        <is>
          <t>カナダ</t>
        </is>
      </c>
      <c r="E33" s="7" t="inlineStr">
        <is>
          <t>ニューロテック・瞑想</t>
        </is>
      </c>
      <c r="F33" s="7" t="inlineStr">
        <is>
          <t>Muse S Athena</t>
        </is>
      </c>
      <c r="G33" s="8" t="n">
        <v>65000</v>
      </c>
      <c r="H33" s="7" t="inlineStr">
        <is>
          <t>脳波（EEG）と血流（fNIRS）でリアルタイムに瞑想をフィードバック</t>
        </is>
      </c>
      <c r="I33" s="7" t="inlineStr">
        <is>
          <t>脳波ヘッドバンドの草分け</t>
        </is>
      </c>
      <c r="J33" s="7" t="inlineStr">
        <is>
          <t>並行品・ECでの流通あり／正規代理店は要確認</t>
        </is>
      </c>
      <c r="K33" s="7" t="inlineStr">
        <is>
          <t>低（海外ブランド・展示会外で直接アプローチ）</t>
        </is>
      </c>
      <c r="L33" s="7" t="inlineStr">
        <is>
          <t>マインドフルネス・睡眠需要あり。サブスクの日本語化が鍵</t>
        </is>
      </c>
      <c r="M33" s="4" t="inlineStr">
        <is>
          <t>○</t>
        </is>
      </c>
      <c r="N33" s="7" t="inlineStr">
        <is>
          <t>既存流通、日本語コンテンツ</t>
        </is>
      </c>
      <c r="O33" s="9" t="inlineStr">
        <is>
          <t>未着手</t>
        </is>
      </c>
      <c r="P33" s="10" t="inlineStr"/>
    </row>
    <row r="34">
      <c r="A34" s="4" t="n">
        <v>30</v>
      </c>
      <c r="B34" s="11" t="inlineStr">
        <is>
          <t>A</t>
        </is>
      </c>
      <c r="C34" s="6" t="inlineStr">
        <is>
          <t>Apollo Neuro</t>
        </is>
      </c>
      <c r="D34" s="7" t="inlineStr">
        <is>
          <t>米国</t>
        </is>
      </c>
      <c r="E34" s="7" t="inlineStr">
        <is>
          <t>ウェアラブル（ストレスケア）</t>
        </is>
      </c>
      <c r="F34" s="7" t="inlineStr">
        <is>
          <t>Apollo Wearable</t>
        </is>
      </c>
      <c r="G34" s="8" t="n">
        <v>50000</v>
      </c>
      <c r="H34" s="7" t="inlineStr">
        <is>
          <t>振動でストレスを和らげる非侵襲のウェアラブル</t>
        </is>
      </c>
      <c r="I34" s="7" t="inlineStr">
        <is>
          <t>大学研究に基づくウェアラブル</t>
        </is>
      </c>
      <c r="J34" s="7" t="inlineStr">
        <is>
          <t>公式代理店は公開情報で確認できず（要確認）</t>
        </is>
      </c>
      <c r="K34" s="7" t="inlineStr">
        <is>
          <t>低（海外ブランド・展示会外で直接アプローチ）</t>
        </is>
      </c>
      <c r="L34" s="7" t="inlineStr">
        <is>
          <t>ストレス・睡眠の訴求は日本で強いが、効能表現に注意</t>
        </is>
      </c>
      <c r="M34" s="4" t="inlineStr">
        <is>
          <t>△</t>
        </is>
      </c>
      <c r="N34" s="7" t="inlineStr">
        <is>
          <t>薬機法表現、エビデンス資料の日本語化</t>
        </is>
      </c>
      <c r="O34" s="9" t="inlineStr">
        <is>
          <t>未着手</t>
        </is>
      </c>
      <c r="P34" s="10" t="inlineStr"/>
    </row>
    <row r="35">
      <c r="A35" s="4" t="n">
        <v>31</v>
      </c>
      <c r="B35" s="11" t="inlineStr">
        <is>
          <t>A</t>
        </is>
      </c>
      <c r="C35" s="6" t="inlineStr">
        <is>
          <t>Mendi</t>
        </is>
      </c>
      <c r="D35" s="7" t="inlineStr">
        <is>
          <t>スウェーデン</t>
        </is>
      </c>
      <c r="E35" s="7" t="inlineStr">
        <is>
          <t>ニューロテック・集中</t>
        </is>
      </c>
      <c r="F35" s="7" t="inlineStr">
        <is>
          <t>Mendi ヘッドバンド</t>
        </is>
      </c>
      <c r="G35" s="8" t="n">
        <v>45000</v>
      </c>
      <c r="H35" s="7" t="inlineStr">
        <is>
          <t>脳の血流（fNIRS）でニューロフィードバックし集中力を鍛える</t>
        </is>
      </c>
      <c r="I35" s="7" t="inlineStr">
        <is>
          <t>北欧発の集中トレーニングデバイス</t>
        </is>
      </c>
      <c r="J35" s="7" t="inlineStr">
        <is>
          <t>公式代理店は公開情報で確認できず（要確認）</t>
        </is>
      </c>
      <c r="K35" s="7" t="inlineStr">
        <is>
          <t>低（海外ブランド・展示会外で直接アプローチ）</t>
        </is>
      </c>
      <c r="L35" s="7" t="inlineStr">
        <is>
          <t>受験・ビジネスの集中ニーズで日本に合う</t>
        </is>
      </c>
      <c r="M35" s="4" t="inlineStr">
        <is>
          <t>○</t>
        </is>
      </c>
      <c r="N35" s="7" t="inlineStr">
        <is>
          <t>効能表現、日本語アプリ</t>
        </is>
      </c>
      <c r="O35" s="9" t="inlineStr">
        <is>
          <t>未着手</t>
        </is>
      </c>
      <c r="P35" s="10" t="inlineStr"/>
    </row>
    <row r="36">
      <c r="A36" s="4" t="n">
        <v>32</v>
      </c>
      <c r="B36" s="11" t="inlineStr">
        <is>
          <t>A</t>
        </is>
      </c>
      <c r="C36" s="6" t="inlineStr">
        <is>
          <t>FORM</t>
        </is>
      </c>
      <c r="D36" s="7" t="inlineStr">
        <is>
          <t>カナダ</t>
        </is>
      </c>
      <c r="E36" s="7" t="inlineStr">
        <is>
          <t>スポーツテック</t>
        </is>
      </c>
      <c r="F36" s="7" t="inlineStr">
        <is>
          <t>FORM Smart Swim 2</t>
        </is>
      </c>
      <c r="G36" s="8" t="n">
        <v>45000</v>
      </c>
      <c r="H36" s="7" t="inlineStr">
        <is>
          <t>ゴーグル内に距離・ペース等をリアルタイム表示するAR水泳ゴーグル</t>
        </is>
      </c>
      <c r="I36" s="7" t="inlineStr">
        <is>
          <t>世界のスイマーに支持、AppleとのWatch連携</t>
        </is>
      </c>
      <c r="J36" s="7" t="inlineStr">
        <is>
          <t>公式代理店は公開情報で確認できず（要確認）</t>
        </is>
      </c>
      <c r="K36" s="7" t="inlineStr">
        <is>
          <t>低（海外ブランド・展示会外で直接アプローチ）</t>
        </is>
      </c>
      <c r="L36" s="7" t="inlineStr">
        <is>
          <t>日本のスイマー・トライアスロン層は規模あり。プールでの利用ルール確認を</t>
        </is>
      </c>
      <c r="M36" s="4" t="inlineStr">
        <is>
          <t>○</t>
        </is>
      </c>
      <c r="N36" s="7" t="inlineStr">
        <is>
          <t>既存の国内流通、技適</t>
        </is>
      </c>
      <c r="O36" s="9" t="inlineStr">
        <is>
          <t>未着手</t>
        </is>
      </c>
      <c r="P36" s="10" t="inlineStr"/>
    </row>
    <row r="37">
      <c r="A37" s="4" t="n">
        <v>33</v>
      </c>
      <c r="B37" s="11" t="inlineStr">
        <is>
          <t>A</t>
        </is>
      </c>
      <c r="C37" s="6" t="inlineStr">
        <is>
          <t>Mila</t>
        </is>
      </c>
      <c r="D37" s="7" t="inlineStr">
        <is>
          <t>米国</t>
        </is>
      </c>
      <c r="E37" s="7" t="inlineStr">
        <is>
          <t>空気清浄機</t>
        </is>
      </c>
      <c r="F37" s="7" t="inlineStr">
        <is>
          <t>Mila Air 3</t>
        </is>
      </c>
      <c r="G37" s="8" t="n">
        <v>55000</v>
      </c>
      <c r="H37" s="7" t="inlineStr">
        <is>
          <t>センサーで自動運転、用途別に選べるフィルター（ペット・アレルギー等）</t>
        </is>
      </c>
      <c r="I37" s="7" t="inlineStr">
        <is>
          <t>米国で高評価のD2C空気清浄機</t>
        </is>
      </c>
      <c r="J37" s="7" t="inlineStr">
        <is>
          <t>公式代理店は公開情報で確認できず（要確認）</t>
        </is>
      </c>
      <c r="K37" s="7" t="inlineStr">
        <is>
          <t>低（海外ブランド・展示会外で直接アプローチ）</t>
        </is>
      </c>
      <c r="L37" s="7" t="inlineStr">
        <is>
          <t>国内メーカーが強いが、ペット・花粉用フィルターの選択肢が差別化になる</t>
        </is>
      </c>
      <c r="M37" s="4" t="inlineStr">
        <is>
          <t>△</t>
        </is>
      </c>
      <c r="N37" s="7" t="inlineStr">
        <is>
          <t>PSE、国内大手との価格比較</t>
        </is>
      </c>
      <c r="O37" s="9" t="inlineStr">
        <is>
          <t>未着手</t>
        </is>
      </c>
      <c r="P37" s="10" t="inlineStr"/>
    </row>
    <row r="38">
      <c r="A38" s="4" t="n">
        <v>34</v>
      </c>
      <c r="B38" s="11" t="inlineStr">
        <is>
          <t>A</t>
        </is>
      </c>
      <c r="C38" s="6" t="inlineStr">
        <is>
          <t>HOVERAir（Zero Zero Robotics）</t>
        </is>
      </c>
      <c r="D38" s="7" t="inlineStr">
        <is>
          <t>中国（杭州）</t>
        </is>
      </c>
      <c r="E38" s="7" t="inlineStr">
        <is>
          <t>自撮りドローン</t>
        </is>
      </c>
      <c r="F38" s="7" t="inlineStr">
        <is>
          <t>HOVERAir X1 Pro / Pro Max</t>
        </is>
      </c>
      <c r="G38" s="8" t="n">
        <v>80000</v>
      </c>
      <c r="H38" s="7" t="inlineStr">
        <is>
          <t>手のひらから飛ばしてプロポ不要で自動追尾撮影する折りたたみ式カメラ</t>
        </is>
      </c>
      <c r="I38" s="7" t="inlineStr">
        <is>
          <t>Kickstarterで大型調達</t>
        </is>
      </c>
      <c r="J38" s="7" t="inlineStr">
        <is>
          <t>国内取扱いの事例あり・独占可否は要確認</t>
        </is>
      </c>
      <c r="K38" s="7" t="inlineStr">
        <is>
          <t>高（中華圏ブランド・出展/商談の可能性大）</t>
        </is>
      </c>
      <c r="L38" s="7" t="inlineStr">
        <is>
          <t>Vlog・アウトドア向けに人気が出るが、100g以上は機体登録が必要（航空法）</t>
        </is>
      </c>
      <c r="M38" s="4" t="inlineStr">
        <is>
          <t>○</t>
        </is>
      </c>
      <c r="N38" s="7" t="inlineStr">
        <is>
          <t>機体登録、既存の国内販売店、技適</t>
        </is>
      </c>
      <c r="O38" s="9" t="inlineStr">
        <is>
          <t>未着手</t>
        </is>
      </c>
      <c r="P38" s="10" t="inlineStr"/>
    </row>
    <row r="39">
      <c r="A39" s="4" t="n">
        <v>35</v>
      </c>
      <c r="B39" s="11" t="inlineStr">
        <is>
          <t>A</t>
        </is>
      </c>
      <c r="C39" s="6" t="inlineStr">
        <is>
          <t>Enabot</t>
        </is>
      </c>
      <c r="D39" s="7" t="inlineStr">
        <is>
          <t>中国（深圳）</t>
        </is>
      </c>
      <c r="E39" s="7" t="inlineStr">
        <is>
          <t>家庭用ロボット</t>
        </is>
      </c>
      <c r="F39" s="7" t="inlineStr">
        <is>
          <t>EBO X</t>
        </is>
      </c>
      <c r="G39" s="8" t="n">
        <v>120000</v>
      </c>
      <c r="H39" s="7" t="inlineStr">
        <is>
          <t>家の中を自走する見守りカメラロボ。Alexa内蔵・転倒検知</t>
        </is>
      </c>
      <c r="I39" s="7" t="inlineStr">
        <is>
          <t>家庭用ロボットのグローバルブランド</t>
        </is>
      </c>
      <c r="J39" s="7" t="inlineStr">
        <is>
          <t>日本での過去の販売形態は要確認</t>
        </is>
      </c>
      <c r="K39" s="7" t="inlineStr">
        <is>
          <t>高（中華圏ブランド・出展/商談の可能性大）</t>
        </is>
      </c>
      <c r="L39" s="7" t="inlineStr">
        <is>
          <t>高齢者の見守り・ペット見守りの需要が強い日本と相性が良い</t>
        </is>
      </c>
      <c r="M39" s="4" t="inlineStr">
        <is>
          <t>○</t>
        </is>
      </c>
      <c r="N39" s="7" t="inlineStr">
        <is>
          <t>日本語音声、プライバシー対応、技適</t>
        </is>
      </c>
      <c r="O39" s="9" t="inlineStr">
        <is>
          <t>未着手</t>
        </is>
      </c>
      <c r="P39" s="10" t="inlineStr"/>
    </row>
    <row r="40">
      <c r="A40" s="4" t="n">
        <v>36</v>
      </c>
      <c r="B40" s="11" t="inlineStr">
        <is>
          <t>A</t>
        </is>
      </c>
      <c r="C40" s="6" t="inlineStr">
        <is>
          <t>Hengbot</t>
        </is>
      </c>
      <c r="D40" s="7" t="inlineStr">
        <is>
          <t>中国（深圳）</t>
        </is>
      </c>
      <c r="E40" s="7" t="inlineStr">
        <is>
          <t>ロボット（エンタメ）</t>
        </is>
      </c>
      <c r="F40" s="7" t="inlineStr">
        <is>
          <t>Sirius ロボット犬</t>
        </is>
      </c>
      <c r="G40" s="8" t="n">
        <v>150000</v>
      </c>
      <c r="H40" s="7" t="inlineStr">
        <is>
          <t>手のひらサイズの高機動ロボット犬。動きを自由に作れる</t>
        </is>
      </c>
      <c r="I40" s="7" t="inlineStr">
        <is>
          <t>新興のロボティクス企業</t>
        </is>
      </c>
      <c r="J40" s="7" t="inlineStr">
        <is>
          <t>公式代理店は公開情報で確認できず（要確認）</t>
        </is>
      </c>
      <c r="K40" s="7" t="inlineStr">
        <is>
          <t>高（中華圏ブランド・出展/商談の可能性大）</t>
        </is>
      </c>
      <c r="L40" s="7" t="inlineStr">
        <is>
          <t>ガジェット・ロボット好き層向け。Makuake支援層と親和性あり</t>
        </is>
      </c>
      <c r="M40" s="4" t="inlineStr">
        <is>
          <t>○</t>
        </is>
      </c>
      <c r="N40" s="7" t="inlineStr">
        <is>
          <t>量産体制、技適、価格帯</t>
        </is>
      </c>
      <c r="O40" s="9" t="inlineStr">
        <is>
          <t>未着手</t>
        </is>
      </c>
      <c r="P40" s="10" t="inlineStr"/>
    </row>
    <row r="41">
      <c r="A41" s="4" t="n">
        <v>37</v>
      </c>
      <c r="B41" s="12" t="inlineStr">
        <is>
          <t>B</t>
        </is>
      </c>
      <c r="C41" s="6" t="inlineStr">
        <is>
          <t>Eight Sleep</t>
        </is>
      </c>
      <c r="D41" s="7" t="inlineStr">
        <is>
          <t>米国</t>
        </is>
      </c>
      <c r="E41" s="7" t="inlineStr">
        <is>
          <t>睡眠テック</t>
        </is>
      </c>
      <c r="F41" s="7" t="inlineStr">
        <is>
          <t>Pod 5</t>
        </is>
      </c>
      <c r="G41" s="8" t="n">
        <v>400000</v>
      </c>
      <c r="H41" s="7" t="inlineStr">
        <is>
          <t>マットレスカバーで寝床の温度を自動調整し、睡眠を計測</t>
        </is>
      </c>
      <c r="I41" s="7" t="inlineStr">
        <is>
          <t>睡眠の温度管理で大型調達したユニコーン級の企業</t>
        </is>
      </c>
      <c r="J41" s="7" t="inlineStr">
        <is>
          <t>公式代理店は公開情報で確認できず（要確認）</t>
        </is>
      </c>
      <c r="K41" s="7" t="inlineStr">
        <is>
          <t>低（海外ブランド・展示会外で直接アプローチ）</t>
        </is>
      </c>
      <c r="L41" s="7" t="inlineStr">
        <is>
          <t>高単価だが富裕層・アスリート向けにポテンシャル。日本のベッドサイズ・100V対応が課題</t>
        </is>
      </c>
      <c r="M41" s="4" t="inlineStr">
        <is>
          <t>○</t>
        </is>
      </c>
      <c r="N41" s="7" t="inlineStr">
        <is>
          <t>日本サイズ・電圧、サブスク、日本展開の意向</t>
        </is>
      </c>
      <c r="O41" s="9" t="inlineStr">
        <is>
          <t>未着手</t>
        </is>
      </c>
      <c r="P41" s="10" t="inlineStr"/>
    </row>
    <row r="42">
      <c r="A42" s="4" t="n">
        <v>38</v>
      </c>
      <c r="B42" s="12" t="inlineStr">
        <is>
          <t>B</t>
        </is>
      </c>
      <c r="C42" s="6" t="inlineStr">
        <is>
          <t>Hatch</t>
        </is>
      </c>
      <c r="D42" s="7" t="inlineStr">
        <is>
          <t>米国</t>
        </is>
      </c>
      <c r="E42" s="7" t="inlineStr">
        <is>
          <t>睡眠テック</t>
        </is>
      </c>
      <c r="F42" s="7" t="inlineStr">
        <is>
          <t>Hatch Restore 3</t>
        </is>
      </c>
      <c r="G42" s="8" t="n">
        <v>28000</v>
      </c>
      <c r="H42" s="7" t="inlineStr">
        <is>
          <t>日の出のように明るくなる光と音で目覚め、寝る前の習慣も整える</t>
        </is>
      </c>
      <c r="I42" s="7" t="inlineStr">
        <is>
          <t>米国で目覚まし・睡眠ライト市場のトップ</t>
        </is>
      </c>
      <c r="J42" s="7" t="inlineStr">
        <is>
          <t>公式代理店は公開情報で確認できず（要確認）</t>
        </is>
      </c>
      <c r="K42" s="7" t="inlineStr">
        <is>
          <t>低（海外ブランド・展示会外で直接アプローチ）</t>
        </is>
      </c>
      <c r="L42" s="7" t="inlineStr">
        <is>
          <t>光目覚ましはクラファンで実績あり。日本語コンテンツ化が必須</t>
        </is>
      </c>
      <c r="M42" s="4" t="inlineStr">
        <is>
          <t>○</t>
        </is>
      </c>
      <c r="N42" s="7" t="inlineStr">
        <is>
          <t>日本語の音声・コンテンツ、技適</t>
        </is>
      </c>
      <c r="O42" s="9" t="inlineStr">
        <is>
          <t>未着手</t>
        </is>
      </c>
      <c r="P42" s="10" t="inlineStr"/>
    </row>
    <row r="43">
      <c r="A43" s="4" t="n">
        <v>39</v>
      </c>
      <c r="B43" s="12" t="inlineStr">
        <is>
          <t>B</t>
        </is>
      </c>
      <c r="C43" s="6" t="inlineStr">
        <is>
          <t>Circular</t>
        </is>
      </c>
      <c r="D43" s="7" t="inlineStr">
        <is>
          <t>フランス</t>
        </is>
      </c>
      <c r="E43" s="7" t="inlineStr">
        <is>
          <t>スマートリング</t>
        </is>
      </c>
      <c r="F43" s="7" t="inlineStr">
        <is>
          <t>Circular Ring 2</t>
        </is>
      </c>
      <c r="G43" s="8" t="n">
        <v>50000</v>
      </c>
      <c r="H43" s="7" t="inlineStr">
        <is>
          <t>指輪型で心電図・血圧の推定まで狙う高機能スマートリング</t>
        </is>
      </c>
      <c r="I43" s="7" t="inlineStr">
        <is>
          <t>クラファン発のスマートリングブランド</t>
        </is>
      </c>
      <c r="J43" s="7" t="inlineStr">
        <is>
          <t>公式代理店は公開情報で確認できず（要確認）</t>
        </is>
      </c>
      <c r="K43" s="7" t="inlineStr">
        <is>
          <t>低（海外ブランド・展示会外で直接アプローチ）</t>
        </is>
      </c>
      <c r="L43" s="7" t="inlineStr">
        <is>
          <t>スマートリングは日本で拡大中（Oura等）。医療系の機能は薬機法の壁</t>
        </is>
      </c>
      <c r="M43" s="4" t="inlineStr">
        <is>
          <t>△</t>
        </is>
      </c>
      <c r="N43" s="7" t="inlineStr">
        <is>
          <t>薬機法、技適、Ouraとの比較</t>
        </is>
      </c>
      <c r="O43" s="9" t="inlineStr">
        <is>
          <t>未着手</t>
        </is>
      </c>
      <c r="P43" s="10" t="inlineStr"/>
    </row>
    <row r="44">
      <c r="A44" s="4" t="n">
        <v>40</v>
      </c>
      <c r="B44" s="12" t="inlineStr">
        <is>
          <t>B</t>
        </is>
      </c>
      <c r="C44" s="6" t="inlineStr">
        <is>
          <t>Airthings</t>
        </is>
      </c>
      <c r="D44" s="7" t="inlineStr">
        <is>
          <t>ノルウェー</t>
        </is>
      </c>
      <c r="E44" s="7" t="inlineStr">
        <is>
          <t>空気質モニター</t>
        </is>
      </c>
      <c r="F44" s="7" t="inlineStr">
        <is>
          <t>View Plus</t>
        </is>
      </c>
      <c r="G44" s="8" t="n">
        <v>45000</v>
      </c>
      <c r="H44" s="7" t="inlineStr">
        <is>
          <t>ラドン・CO2・PM2.5・VOCなどをまとめて測定</t>
        </is>
      </c>
      <c r="I44" s="7" t="inlineStr">
        <is>
          <t>北欧の空気質センサー大手</t>
        </is>
      </c>
      <c r="J44" s="7" t="inlineStr">
        <is>
          <t>公式代理店は公開情報で確認できず（要確認）</t>
        </is>
      </c>
      <c r="K44" s="7" t="inlineStr">
        <is>
          <t>低（海外ブランド・展示会外で直接アプローチ）</t>
        </is>
      </c>
      <c r="L44" s="7" t="inlineStr">
        <is>
          <t>日本はラドンの認知が低い。CO2モニターは安価な競合が多い</t>
        </is>
      </c>
      <c r="M44" s="4" t="inlineStr">
        <is>
          <t>△</t>
        </is>
      </c>
      <c r="N44" s="7" t="inlineStr">
        <is>
          <t>日本向けの訴求点の作り直し</t>
        </is>
      </c>
      <c r="O44" s="9" t="inlineStr">
        <is>
          <t>未着手</t>
        </is>
      </c>
      <c r="P44" s="10" t="inlineStr"/>
    </row>
    <row r="45">
      <c r="A45" s="4" t="n">
        <v>41</v>
      </c>
      <c r="B45" s="12" t="inlineStr">
        <is>
          <t>B</t>
        </is>
      </c>
      <c r="C45" s="6" t="inlineStr">
        <is>
          <t>Yoshino Power</t>
        </is>
      </c>
      <c r="D45" s="7" t="inlineStr">
        <is>
          <t>米国</t>
        </is>
      </c>
      <c r="E45" s="7" t="inlineStr">
        <is>
          <t>ポータブル電源</t>
        </is>
      </c>
      <c r="F45" s="7" t="inlineStr">
        <is>
          <t>B2000 SST</t>
        </is>
      </c>
      <c r="G45" s="8" t="n">
        <v>200000</v>
      </c>
      <c r="H45" s="7" t="inlineStr">
        <is>
          <t>固体電池の安全性・軽量さを訴求</t>
        </is>
      </c>
      <c r="I45" s="7" t="inlineStr">
        <is>
          <t>固体電池のポータブル電源として話題</t>
        </is>
      </c>
      <c r="J45" s="7" t="inlineStr">
        <is>
          <t>公式代理店は公開情報で確認できず（要確認）</t>
        </is>
      </c>
      <c r="K45" s="7" t="inlineStr">
        <is>
          <t>低（海外ブランド・展示会外で直接アプローチ）</t>
        </is>
      </c>
      <c r="L45" s="7" t="inlineStr">
        <is>
          <t>防災需要に合うが、Dabbssonと同じポジションで競合</t>
        </is>
      </c>
      <c r="M45" s="4" t="inlineStr">
        <is>
          <t>○</t>
        </is>
      </c>
      <c r="N45" s="7" t="inlineStr">
        <is>
          <t>PSE、量産・供給の実績</t>
        </is>
      </c>
      <c r="O45" s="9" t="inlineStr">
        <is>
          <t>未着手</t>
        </is>
      </c>
      <c r="P45" s="10" t="inlineStr"/>
    </row>
    <row r="46">
      <c r="A46" s="4" t="n">
        <v>42</v>
      </c>
      <c r="B46" s="12" t="inlineStr">
        <is>
          <t>B</t>
        </is>
      </c>
      <c r="C46" s="6" t="inlineStr">
        <is>
          <t>Halo Collar</t>
        </is>
      </c>
      <c r="D46" s="7" t="inlineStr">
        <is>
          <t>米国</t>
        </is>
      </c>
      <c r="E46" s="7" t="inlineStr">
        <is>
          <t>ペットテック</t>
        </is>
      </c>
      <c r="F46" s="7" t="inlineStr">
        <is>
          <t>Halo Collar 4</t>
        </is>
      </c>
      <c r="G46" s="8" t="n">
        <v>80000</v>
      </c>
      <c r="H46" s="7" t="inlineStr">
        <is>
          <t>GPSで見えない柵を作り、犬の行動を見守る首輪</t>
        </is>
      </c>
      <c r="I46" s="7" t="inlineStr">
        <is>
          <t>ドッグトレーナー監修で米国人気</t>
        </is>
      </c>
      <c r="J46" s="7" t="inlineStr">
        <is>
          <t>公式代理店は公開情報で確認できず（要確認）</t>
        </is>
      </c>
      <c r="K46" s="7" t="inlineStr">
        <is>
          <t>低（海外ブランド・展示会外で直接アプローチ）</t>
        </is>
      </c>
      <c r="L46" s="7" t="inlineStr">
        <is>
          <t>日本は室内飼い・リード義務が中心で、主な用途が合いにくい</t>
        </is>
      </c>
      <c r="M46" s="4" t="inlineStr">
        <is>
          <t>△</t>
        </is>
      </c>
      <c r="N46" s="7" t="inlineStr">
        <is>
          <t>LTE・技適、日本向けの用途設計</t>
        </is>
      </c>
      <c r="O46" s="9" t="inlineStr">
        <is>
          <t>未着手</t>
        </is>
      </c>
      <c r="P46" s="10" t="inlineStr"/>
    </row>
    <row r="47">
      <c r="A47" s="4" t="n">
        <v>43</v>
      </c>
      <c r="B47" s="12" t="inlineStr">
        <is>
          <t>B</t>
        </is>
      </c>
      <c r="C47" s="6" t="inlineStr">
        <is>
          <t>PETLIBRO</t>
        </is>
      </c>
      <c r="D47" s="7" t="inlineStr">
        <is>
          <t>米国／中国（深圳）</t>
        </is>
      </c>
      <c r="E47" s="7" t="inlineStr">
        <is>
          <t>ペットテック</t>
        </is>
      </c>
      <c r="F47" s="7" t="inlineStr">
        <is>
          <t>Granary カメラ付き自動給餌器</t>
        </is>
      </c>
      <c r="G47" s="8" t="n">
        <v>25000</v>
      </c>
      <c r="H47" s="7" t="inlineStr">
        <is>
          <t>カメラ・AI付きの自動給餌器と給水器</t>
        </is>
      </c>
      <c r="I47" s="7" t="inlineStr">
        <is>
          <t>米国Amazonで上位のペット家電</t>
        </is>
      </c>
      <c r="J47" s="7" t="inlineStr">
        <is>
          <t>Amazon等で直販/並行品あり・正規代理店は未確認（要確認）</t>
        </is>
      </c>
      <c r="K47" s="7" t="inlineStr">
        <is>
          <t>高（中華圏ブランド・出展/商談の可能性大）</t>
        </is>
      </c>
      <c r="L47" s="7" t="inlineStr">
        <is>
          <t>自動給餌器は日本でも需要あり。ただし2万円以上の機種は限られ、競合も多い</t>
        </is>
      </c>
      <c r="M47" s="4" t="inlineStr">
        <is>
          <t>△</t>
        </is>
      </c>
      <c r="N47" s="7" t="inlineStr">
        <is>
          <t>2万円以上のモデル、既存流通</t>
        </is>
      </c>
      <c r="O47" s="9" t="inlineStr">
        <is>
          <t>未着手</t>
        </is>
      </c>
      <c r="P47" s="10" t="inlineStr"/>
    </row>
    <row r="48">
      <c r="A48" s="4" t="n">
        <v>44</v>
      </c>
      <c r="B48" s="12" t="inlineStr">
        <is>
          <t>B</t>
        </is>
      </c>
      <c r="C48" s="6" t="inlineStr">
        <is>
          <t>Vaonis</t>
        </is>
      </c>
      <c r="D48" s="7" t="inlineStr">
        <is>
          <t>フランス</t>
        </is>
      </c>
      <c r="E48" s="7" t="inlineStr">
        <is>
          <t>スマート望遠鏡</t>
        </is>
      </c>
      <c r="F48" s="7" t="inlineStr">
        <is>
          <t>Vespera II / Stellina</t>
        </is>
      </c>
      <c r="G48" s="8" t="n">
        <v>250000</v>
      </c>
      <c r="H48" s="7" t="inlineStr">
        <is>
          <t>高級なスマート天体望遠鏡。デザインと画質を両立</t>
        </is>
      </c>
      <c r="I48" s="7" t="inlineStr">
        <is>
          <t>欧州のスマート望遠鏡のリーダー</t>
        </is>
      </c>
      <c r="J48" s="7" t="inlineStr">
        <is>
          <t>過去の国内取扱いの有無を要確認</t>
        </is>
      </c>
      <c r="K48" s="7" t="inlineStr">
        <is>
          <t>低（海外ブランド・展示会外で直接アプローチ）</t>
        </is>
      </c>
      <c r="L48" s="7" t="inlineStr">
        <is>
          <t>高単価。DWARFとの棲み分け（ハイエンド）として検討</t>
        </is>
      </c>
      <c r="M48" s="4" t="inlineStr">
        <is>
          <t>△</t>
        </is>
      </c>
      <c r="N48" s="7" t="inlineStr">
        <is>
          <t>既存の国内取扱い、価格帯</t>
        </is>
      </c>
      <c r="O48" s="9" t="inlineStr">
        <is>
          <t>未着手</t>
        </is>
      </c>
      <c r="P48" s="10" t="inlineStr"/>
    </row>
    <row r="49">
      <c r="A49" s="4" t="n">
        <v>45</v>
      </c>
      <c r="B49" s="12" t="inlineStr">
        <is>
          <t>B</t>
        </is>
      </c>
      <c r="C49" s="6" t="inlineStr">
        <is>
          <t>Gardyn</t>
        </is>
      </c>
      <c r="D49" s="7" t="inlineStr">
        <is>
          <t>米国</t>
        </is>
      </c>
      <c r="E49" s="7" t="inlineStr">
        <is>
          <t>室内栽培</t>
        </is>
      </c>
      <c r="F49" s="7" t="inlineStr">
        <is>
          <t>Gardyn Home 4.0</t>
        </is>
      </c>
      <c r="G49" s="8" t="n">
        <v>100000</v>
      </c>
      <c r="H49" s="7" t="inlineStr">
        <is>
          <t>縦型でAIが栽培をサポートする室内菜園</t>
        </is>
      </c>
      <c r="I49" s="7" t="inlineStr">
        <is>
          <t>米TIME誌のベスト発明に選出</t>
        </is>
      </c>
      <c r="J49" s="7" t="inlineStr">
        <is>
          <t>公式代理店は公開情報で確認できず（要確認）</t>
        </is>
      </c>
      <c r="K49" s="7" t="inlineStr">
        <is>
          <t>低（海外ブランド・展示会外で直接アプローチ）</t>
        </is>
      </c>
      <c r="L49" s="7" t="inlineStr">
        <is>
          <t>日本の住宅ではサイズに課題。単身・都市部ではやや厳しい</t>
        </is>
      </c>
      <c r="M49" s="4" t="inlineStr">
        <is>
          <t>△</t>
        </is>
      </c>
      <c r="N49" s="7" t="inlineStr">
        <is>
          <t>日本サイズ、100V、種の輸入規制</t>
        </is>
      </c>
      <c r="O49" s="9" t="inlineStr">
        <is>
          <t>未着手</t>
        </is>
      </c>
      <c r="P49" s="10" t="inlineStr"/>
    </row>
    <row r="50">
      <c r="A50" s="4" t="n">
        <v>46</v>
      </c>
      <c r="B50" s="12" t="inlineStr">
        <is>
          <t>B</t>
        </is>
      </c>
      <c r="C50" s="6" t="inlineStr">
        <is>
          <t>Click &amp; Grow</t>
        </is>
      </c>
      <c r="D50" s="7" t="inlineStr">
        <is>
          <t>エストニア</t>
        </is>
      </c>
      <c r="E50" s="7" t="inlineStr">
        <is>
          <t>室内栽培</t>
        </is>
      </c>
      <c r="F50" s="7" t="inlineStr">
        <is>
          <t>Smart Garden 9 Pro</t>
        </is>
      </c>
      <c r="G50" s="8" t="n">
        <v>40000</v>
      </c>
      <c r="H50" s="7" t="inlineStr">
        <is>
          <t>土のいらない栽培ポッドで、水を足すだけで育つ</t>
        </is>
      </c>
      <c r="I50" s="7" t="inlineStr">
        <is>
          <t>水耕栽培ポッドの世界的ブランド</t>
        </is>
      </c>
      <c r="J50" s="7" t="inlineStr">
        <is>
          <t>過去の国内取扱いの有無を要確認</t>
        </is>
      </c>
      <c r="K50" s="7" t="inlineStr">
        <is>
          <t>低（海外ブランド・展示会外で直接アプローチ）</t>
        </is>
      </c>
      <c r="L50" s="7" t="inlineStr">
        <is>
          <t>キッチン菜園の需要はあり。種ポッドの輸入（植物防疫）が論点</t>
        </is>
      </c>
      <c r="M50" s="4" t="inlineStr">
        <is>
          <t>△</t>
        </is>
      </c>
      <c r="N50" s="7" t="inlineStr">
        <is>
          <t>植物防疫、ポッドの国内供給</t>
        </is>
      </c>
      <c r="O50" s="9" t="inlineStr">
        <is>
          <t>未着手</t>
        </is>
      </c>
      <c r="P50" s="10" t="inlineStr"/>
    </row>
    <row r="51">
      <c r="A51" s="4" t="n">
        <v>47</v>
      </c>
      <c r="B51" s="12" t="inlineStr">
        <is>
          <t>B</t>
        </is>
      </c>
      <c r="C51" s="6" t="inlineStr">
        <is>
          <t>AURZEN</t>
        </is>
      </c>
      <c r="D51" s="7" t="inlineStr">
        <is>
          <t>中国（深圳）</t>
        </is>
      </c>
      <c r="E51" s="7" t="inlineStr">
        <is>
          <t>プロジェクター</t>
        </is>
      </c>
      <c r="F51" s="7" t="inlineStr">
        <is>
          <t>ZIP 三つ折りプロジェクター</t>
        </is>
      </c>
      <c r="G51" s="8" t="n">
        <v>40000</v>
      </c>
      <c r="H51" s="7" t="inlineStr">
        <is>
          <t>三つ折りのポケットサイズで、スマホとつないですぐ投影</t>
        </is>
      </c>
      <c r="I51" s="7" t="inlineStr">
        <is>
          <t>新しい形状でKickstarterの話題に</t>
        </is>
      </c>
      <c r="J51" s="7" t="inlineStr">
        <is>
          <t>Amazon等で直販/並行品あり・正規代理店は未確認（要確認）</t>
        </is>
      </c>
      <c r="K51" s="7" t="inlineStr">
        <is>
          <t>高（中華圏ブランド・出展/商談の可能性大）</t>
        </is>
      </c>
      <c r="L51" s="7" t="inlineStr">
        <is>
          <t>ミニプロジェクターは日本で人気。ただし価格競争が激しい</t>
        </is>
      </c>
      <c r="M51" s="4" t="inlineStr">
        <is>
          <t>○</t>
        </is>
      </c>
      <c r="N51" s="7" t="inlineStr">
        <is>
          <t>既存流通、明るさ・解像度の仕様</t>
        </is>
      </c>
      <c r="O51" s="9" t="inlineStr">
        <is>
          <t>未着手</t>
        </is>
      </c>
      <c r="P51" s="10" t="inlineStr"/>
    </row>
    <row r="52">
      <c r="A52" s="4" t="n">
        <v>48</v>
      </c>
      <c r="B52" s="12" t="inlineStr">
        <is>
          <t>B</t>
        </is>
      </c>
      <c r="C52" s="6" t="inlineStr">
        <is>
          <t>Bird Buddy</t>
        </is>
      </c>
      <c r="D52" s="7" t="inlineStr">
        <is>
          <t>スロベニア／米国</t>
        </is>
      </c>
      <c r="E52" s="7" t="inlineStr">
        <is>
          <t>スマートホーム（趣味）</t>
        </is>
      </c>
      <c r="F52" s="7" t="inlineStr">
        <is>
          <t>Bird Buddy Pro</t>
        </is>
      </c>
      <c r="G52" s="8" t="n">
        <v>45000</v>
      </c>
      <c r="H52" s="7" t="inlineStr">
        <is>
          <t>AIで野鳥を自動撮影・種類を判定する餌台</t>
        </is>
      </c>
      <c r="I52" s="7" t="inlineStr">
        <is>
          <t>Kickstarterで大型調達</t>
        </is>
      </c>
      <c r="J52" s="7" t="inlineStr">
        <is>
          <t>公式代理店は公開情報で確認できず（要確認）</t>
        </is>
      </c>
      <c r="K52" s="7" t="inlineStr">
        <is>
          <t>低（海外ブランド・展示会外で直接アプローチ）</t>
        </is>
      </c>
      <c r="L52" s="7" t="inlineStr">
        <is>
          <t>日本では庭付きの家・野鳥への給餌の文化が限られ、市場は小さい</t>
        </is>
      </c>
      <c r="M52" s="4" t="inlineStr">
        <is>
          <t>△</t>
        </is>
      </c>
      <c r="N52" s="7" t="inlineStr">
        <is>
          <t>日本の野鳥データ、技適</t>
        </is>
      </c>
      <c r="O52" s="9" t="inlineStr">
        <is>
          <t>未着手</t>
        </is>
      </c>
      <c r="P52" s="10" t="inlineStr"/>
    </row>
    <row r="53">
      <c r="A53" s="4" t="n">
        <v>49</v>
      </c>
      <c r="B53" s="12" t="inlineStr">
        <is>
          <t>B</t>
        </is>
      </c>
      <c r="C53" s="6" t="inlineStr">
        <is>
          <t>BREO</t>
        </is>
      </c>
      <c r="D53" s="7" t="inlineStr">
        <is>
          <t>中国（深圳）</t>
        </is>
      </c>
      <c r="E53" s="7" t="inlineStr">
        <is>
          <t>マッサージ・ウェルネス</t>
        </is>
      </c>
      <c r="F53" s="7" t="inlineStr">
        <is>
          <t>See X / iDream アイマッサージャー</t>
        </is>
      </c>
      <c r="G53" s="8" t="n">
        <v>25000</v>
      </c>
      <c r="H53" s="7" t="inlineStr">
        <is>
          <t>温熱・エアプレッシャー・音楽を組み合わせた目元・頭部ケア</t>
        </is>
      </c>
      <c r="I53" s="7" t="inlineStr">
        <is>
          <t>中国でマッサージ機器の大手</t>
        </is>
      </c>
      <c r="J53" s="7" t="inlineStr">
        <is>
          <t>Amazon等で直販/並行品あり・正規代理店は未確認（要確認）</t>
        </is>
      </c>
      <c r="K53" s="7" t="inlineStr">
        <is>
          <t>高（中華圏ブランド・出展/商談の可能性大）</t>
        </is>
      </c>
      <c r="L53" s="7" t="inlineStr">
        <is>
          <t>目元ケアは日本で強い需要。既存流通との調整が必要</t>
        </is>
      </c>
      <c r="M53" s="4" t="inlineStr">
        <is>
          <t>△</t>
        </is>
      </c>
      <c r="N53" s="7" t="inlineStr">
        <is>
          <t>既存の国内流通、上位モデルの単価</t>
        </is>
      </c>
      <c r="O53" s="9" t="inlineStr">
        <is>
          <t>未着手</t>
        </is>
      </c>
      <c r="P53" s="10" t="inlineStr"/>
    </row>
    <row r="54">
      <c r="A54" s="4" t="n">
        <v>50</v>
      </c>
      <c r="B54" s="12" t="inlineStr">
        <is>
          <t>B</t>
        </is>
      </c>
      <c r="C54" s="6" t="inlineStr">
        <is>
          <t>WeCreat</t>
        </is>
      </c>
      <c r="D54" s="7" t="inlineStr">
        <is>
          <t>中国（深圳）</t>
        </is>
      </c>
      <c r="E54" s="7" t="inlineStr">
        <is>
          <t>レーザー加工機</t>
        </is>
      </c>
      <c r="F54" s="7" t="inlineStr">
        <is>
          <t>WeCreat Vision</t>
        </is>
      </c>
      <c r="G54" s="8" t="n">
        <v>100000</v>
      </c>
      <c r="H54" s="7" t="inlineStr">
        <is>
          <t>AIカメラで素材を自動で認識し、加工条件を設定</t>
        </is>
      </c>
      <c r="I54" s="7" t="inlineStr">
        <is>
          <t>レーザー加工機の新興ブランド</t>
        </is>
      </c>
      <c r="J54" s="7" t="inlineStr">
        <is>
          <t>公式代理店は公開情報で確認できず（要確認）</t>
        </is>
      </c>
      <c r="K54" s="7" t="inlineStr">
        <is>
          <t>高（中華圏ブランド・出展/商談の可能性大）</t>
        </is>
      </c>
      <c r="L54" s="7" t="inlineStr">
        <is>
          <t>Makuakeでもレーザー加工機は実績ジャンルだが、xTool等が先行</t>
        </is>
      </c>
      <c r="M54" s="4" t="inlineStr">
        <is>
          <t>△</t>
        </is>
      </c>
      <c r="N54" s="7" t="inlineStr">
        <is>
          <t>安全規格（レーザークラス）、xToolとの差</t>
        </is>
      </c>
      <c r="O54" s="9" t="inlineStr">
        <is>
          <t>未着手</t>
        </is>
      </c>
      <c r="P54" s="10" t="inlineStr"/>
    </row>
  </sheetData>
  <autoFilter ref="A4:P54"/>
  <mergeCells count="1">
    <mergeCell ref="A2:P2"/>
  </mergeCells>
  <dataValidations count="1">
    <dataValidation sqref="O5:O54" showDropDown="0" showInputMessage="0" showErrorMessage="0" allowBlank="1" type="list">
      <formula1>"未着手,アポ打診中,ブースで面談済,資料受領,条件交渉中,見送り"</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10" customWidth="1" min="2" max="2"/>
    <col width="16" customWidth="1" min="3" max="3"/>
  </cols>
  <sheetData>
    <row r="1">
      <c r="A1" s="1" t="inlineStr">
        <is>
          <t>サマリー（「トップ50リスト」から自動で集計）</t>
        </is>
      </c>
    </row>
    <row r="3">
      <c r="A3" s="13" t="inlineStr">
        <is>
          <t>優先度</t>
        </is>
      </c>
      <c r="B3" s="13" t="inlineStr">
        <is>
          <t>社数</t>
        </is>
      </c>
      <c r="C3" s="13" t="inlineStr">
        <is>
          <t>平均定価（円）</t>
        </is>
      </c>
    </row>
    <row r="4">
      <c r="A4" s="14" t="inlineStr">
        <is>
          <t>S</t>
        </is>
      </c>
      <c r="B4" s="14">
        <f>COUNTIF('トップ50リスト'!$B$5:$B$54,A4)</f>
        <v/>
      </c>
      <c r="C4" s="15">
        <f>IFERROR(AVERAGEIF('トップ50リスト'!$B$5:$B$54,A4,'トップ50リスト'!$G$5:$G$54),0)</f>
        <v/>
      </c>
    </row>
    <row r="5">
      <c r="A5" s="14" t="inlineStr">
        <is>
          <t>A</t>
        </is>
      </c>
      <c r="B5" s="14">
        <f>COUNTIF('トップ50リスト'!$B$5:$B$54,A5)</f>
        <v/>
      </c>
      <c r="C5" s="15">
        <f>IFERROR(AVERAGEIF('トップ50リスト'!$B$5:$B$54,A5,'トップ50リスト'!$G$5:$G$54),0)</f>
        <v/>
      </c>
    </row>
    <row r="6">
      <c r="A6" s="14" t="inlineStr">
        <is>
          <t>B</t>
        </is>
      </c>
      <c r="B6" s="14">
        <f>COUNTIF('トップ50リスト'!$B$5:$B$54,A6)</f>
        <v/>
      </c>
      <c r="C6" s="15">
        <f>IFERROR(AVERAGEIF('トップ50リスト'!$B$5:$B$54,A6,'トップ50リスト'!$G$5:$G$54),0)</f>
        <v/>
      </c>
    </row>
    <row r="7">
      <c r="A7" s="16" t="inlineStr">
        <is>
          <t>合計</t>
        </is>
      </c>
      <c r="B7" s="16">
        <f>SUM(B4:B6)</f>
        <v/>
      </c>
      <c r="C7" s="14" t="n"/>
    </row>
    <row r="8">
      <c r="A8" s="14" t="n"/>
      <c r="B8" s="14" t="n"/>
      <c r="C8" s="14" t="n"/>
    </row>
    <row r="9">
      <c r="A9" s="13" t="inlineStr">
        <is>
          <t>日本適合度</t>
        </is>
      </c>
      <c r="B9" s="13" t="inlineStr">
        <is>
          <t>社数</t>
        </is>
      </c>
      <c r="C9" s="14" t="n"/>
    </row>
    <row r="10">
      <c r="A10" s="14" t="inlineStr">
        <is>
          <t>◎</t>
        </is>
      </c>
      <c r="B10" s="14">
        <f>COUNTIF('トップ50リスト'!$M$5:$M$54,A10)</f>
        <v/>
      </c>
      <c r="C10" s="14" t="n"/>
    </row>
    <row r="11">
      <c r="A11" s="14" t="inlineStr">
        <is>
          <t>○</t>
        </is>
      </c>
      <c r="B11" s="14">
        <f>COUNTIF('トップ50リスト'!$M$5:$M$54,A11)</f>
        <v/>
      </c>
      <c r="C11" s="14" t="n"/>
    </row>
    <row r="12">
      <c r="A12" s="14" t="inlineStr">
        <is>
          <t>△</t>
        </is>
      </c>
      <c r="B12" s="14">
        <f>COUNTIF('トップ50リスト'!$M$5:$M$54,A12)</f>
        <v/>
      </c>
      <c r="C12" s="14" t="n"/>
    </row>
    <row r="13">
      <c r="A13" s="14" t="n"/>
      <c r="B13" s="14" t="n"/>
      <c r="C13" s="14" t="n"/>
    </row>
    <row r="14">
      <c r="A14" s="13" t="inlineStr">
        <is>
          <t>香港展示会で接触できる可能性</t>
        </is>
      </c>
      <c r="B14" s="13" t="inlineStr">
        <is>
          <t>社数</t>
        </is>
      </c>
      <c r="C14" s="14" t="n"/>
    </row>
    <row r="15">
      <c r="A15" s="14" t="inlineStr">
        <is>
          <t>高</t>
        </is>
      </c>
      <c r="B15" s="14">
        <f>COUNTIF('トップ50リスト'!$K$5:$K$54,"高*")</f>
        <v/>
      </c>
      <c r="C15" s="14" t="n"/>
    </row>
    <row r="16">
      <c r="A16" s="14" t="inlineStr">
        <is>
          <t>中</t>
        </is>
      </c>
      <c r="B16" s="14">
        <f>COUNTIF('トップ50リスト'!$K$5:$K$54,"中*")</f>
        <v/>
      </c>
      <c r="C16" s="14" t="n"/>
    </row>
    <row r="17">
      <c r="A17" s="14" t="inlineStr">
        <is>
          <t>低（展示会外）</t>
        </is>
      </c>
      <c r="B17" s="14">
        <f>COUNTIF('トップ50リスト'!$K$5:$K$54,"低*")</f>
        <v/>
      </c>
      <c r="C17" s="14" t="n"/>
    </row>
    <row r="18">
      <c r="A18" s="14" t="n"/>
      <c r="B18" s="14" t="n"/>
      <c r="C18" s="14" t="n"/>
    </row>
    <row r="19">
      <c r="A19" s="13" t="inlineStr">
        <is>
          <t>ステータス</t>
        </is>
      </c>
      <c r="B19" s="13" t="inlineStr">
        <is>
          <t>社数</t>
        </is>
      </c>
      <c r="C19" s="14" t="n"/>
    </row>
    <row r="20">
      <c r="A20" s="14" t="inlineStr">
        <is>
          <t>未着手</t>
        </is>
      </c>
      <c r="B20" s="14">
        <f>COUNTIF('トップ50リスト'!$O$5:$O$54,A20)</f>
        <v/>
      </c>
      <c r="C20" s="14" t="n"/>
    </row>
    <row r="21">
      <c r="A21" s="14" t="inlineStr">
        <is>
          <t>アポ打診中</t>
        </is>
      </c>
      <c r="B21" s="14">
        <f>COUNTIF('トップ50リスト'!$O$5:$O$54,A21)</f>
        <v/>
      </c>
      <c r="C21" s="14" t="n"/>
    </row>
    <row r="22">
      <c r="A22" s="14" t="inlineStr">
        <is>
          <t>ブースで面談済</t>
        </is>
      </c>
      <c r="B22" s="14">
        <f>COUNTIF('トップ50リスト'!$O$5:$O$54,A22)</f>
        <v/>
      </c>
      <c r="C22" s="14" t="n"/>
    </row>
    <row r="23">
      <c r="A23" s="14" t="inlineStr">
        <is>
          <t>資料受領</t>
        </is>
      </c>
      <c r="B23" s="14">
        <f>COUNTIF('トップ50リスト'!$O$5:$O$54,A23)</f>
        <v/>
      </c>
      <c r="C23" s="14" t="n"/>
    </row>
    <row r="24">
      <c r="A24" s="14" t="inlineStr">
        <is>
          <t>条件交渉中</t>
        </is>
      </c>
      <c r="B24" s="14">
        <f>COUNTIF('トップ50リスト'!$O$5:$O$54,A24)</f>
        <v/>
      </c>
      <c r="C24" s="14" t="n"/>
    </row>
    <row r="25">
      <c r="A25" s="14" t="inlineStr">
        <is>
          <t>見送り</t>
        </is>
      </c>
      <c r="B25" s="14">
        <f>COUNTIF('トップ50リスト'!$O$5:$O$54,A25)</f>
        <v/>
      </c>
      <c r="C25" s="1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7" t="inlineStr">
        <is>
          <t>前提・注意事項</t>
        </is>
      </c>
    </row>
    <row r="2">
      <c r="A2" s="18" t="inlineStr">
        <is>
          <t>1. 展示会の概要：第46回 香港エレクトロニクス・フェア（秋）。2026年10月13〜16日、香港コンベンション＆エキシビションセンター（HKCEC）。出展は約3,200社。重点テーマは「AI &amp; Robotics」「Smart Wellness」「NEXTEntertainment」で、スタートアップゾーンとRoboParkがあります。</t>
        </is>
      </c>
    </row>
    <row r="3">
      <c r="A3" s="18" t="inlineStr">
        <is>
          <t>2. 出展しているかは未確認：作成した環境から公式の出展者リスト（hktdc.com）にアクセスできなかったため、各社の出展は確認できていません。『香港展示会で接触できる可能性』は本社の所在地をもとにした推定です。公式の出展者リストとClick2Match（AIによる商談マッチング）で照合し、面談を事前に予約することをおすすめします。</t>
        </is>
      </c>
    </row>
    <row r="4">
      <c r="A4" s="18" t="inlineStr">
        <is>
          <t>3. 日本の代理店の有無は推定：各社の公式サイト・Amazon.co.jp・Makuake/GREEN FUNDINGの過去案件を見て、日本の代理店（クラファン代行・並行輸入を含む）がすでにあるかを必ず確認してください。『要確認』と書いた会社は、既存の契約先がいる可能性があります。</t>
        </is>
      </c>
    </row>
    <row r="5">
      <c r="A5" s="18" t="inlineStr">
        <is>
          <t>4. 対象から外したブランド：日本法人や正規代理店がすでにあるとみられる大手（Anker、EcoFlow、Jackery、DJI、Insta360、XREAL、Shokz、Dreame、Roborock、SwitchBot、Bambu Lab、xTool、PLAUD、Timekettle、Oura、BOOXなど）は外しています。</t>
        </is>
      </c>
    </row>
    <row r="6">
      <c r="A6" s="18" t="inlineStr">
        <is>
          <t>5. 定価目安：米ドルの定価を1ドル=約150円で換算した概算です（税・送料・関税は含みません）。日本で売る価格は、粗利の構成を見て別途決めてください。</t>
        </is>
      </c>
    </row>
    <row r="7">
      <c r="A7" s="18" t="inlineStr">
        <is>
          <t>6. 規制のチェック：無線機器は技適、AC電源の機器はPSE、e-bikeは型式認定、ドローンは航空法（100g以上は機体登録）、ヘルス・医療系は薬機法の表現と区分に注意が必要です。</t>
        </is>
      </c>
    </row>
    <row r="8">
      <c r="A8" s="18" t="inlineStr">
        <is>
          <t>7. 優先度の考え方：S＝日本での適合度が高い×差別化がはっきりしている×展示会で接触しやすい。A＝有力だが、規制・競合・接触方法のどれかに課題がある。B＝条件付き、またはニッチ。</t>
        </is>
      </c>
    </row>
    <row r="9">
      <c r="A9" s="18" t="inlineStr">
        <is>
          <t>8. 記入欄：『ステータス』（プルダウン）と『メモ』の黄色いセルを、展示会の当日と事後に更新してください。『サマリー』シートで自動集計されます。</t>
        </is>
      </c>
    </row>
    <row r="10">
      <c r="A10" s="18" t="inlineStr">
        <is>
          <t>出典：HKTDCの公式イベントページ（https://www.hktdc.com/event/hkelectronicsfairae/en）、HKTDCのプレスリリース（2026年10月開催の4つのテック展示会について）。ブランド情報は作成者の知識にもとづく概要で、数値・実績は商談の前に一次情報で確認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2026-10-04T05:32:34Z</dcterms:created>
  <dcterms:modified xsi:type="dcterms:W3CDTF">2026-10-04T05:32:35Z</dcterms:modified>
</cp:coreProperties>
</file>